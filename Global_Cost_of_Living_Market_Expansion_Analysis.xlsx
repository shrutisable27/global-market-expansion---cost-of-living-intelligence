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Clean_Data" sheetId="2" state="visible" r:id="rId4"/>
    <sheet name="Regional_Summary" sheetId="3" state="visible" r:id="rId5"/>
    <sheet name="Dashboar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<sst xmlns="http://schemas.openxmlformats.org/spreadsheetml/2006/main" count="2188" uniqueCount="661">
  <si>
    <t xml:space="preserve">country</t>
  </si>
  <si>
    <t xml:space="preserve">country_code_x</t>
  </si>
  <si>
    <t xml:space="preserve">region</t>
  </si>
  <si>
    <t xml:space="preserve">income_level</t>
  </si>
  <si>
    <t xml:space="preserve">capital_city</t>
  </si>
  <si>
    <t xml:space="preserve">latitude</t>
  </si>
  <si>
    <t xml:space="preserve">longitude</t>
  </si>
  <si>
    <t xml:space="preserve">country_code_y</t>
  </si>
  <si>
    <t xml:space="preserve">inflation_year</t>
  </si>
  <si>
    <t xml:space="preserve">inflation_annual_pct</t>
  </si>
  <si>
    <t xml:space="preserve">cost_living_index</t>
  </si>
  <si>
    <t xml:space="preserve">rent_index</t>
  </si>
  <si>
    <t xml:space="preserve">groceries_index</t>
  </si>
  <si>
    <t xml:space="preserve">restaurants_index</t>
  </si>
  <si>
    <t xml:space="preserve">purchasing_power_index</t>
  </si>
  <si>
    <t xml:space="preserve">bread_price_usd</t>
  </si>
  <si>
    <t xml:space="preserve">transport_oneway_usd</t>
  </si>
  <si>
    <t xml:space="preserve">transport_monthly_pass_usd</t>
  </si>
  <si>
    <t xml:space="preserve">rent_monthly_usd</t>
  </si>
  <si>
    <t xml:space="preserve">utilities_monthly_usd</t>
  </si>
  <si>
    <t xml:space="preserve">Aruba</t>
  </si>
  <si>
    <t xml:space="preserve">Latin America &amp; Caribbean </t>
  </si>
  <si>
    <t xml:space="preserve">High income</t>
  </si>
  <si>
    <t xml:space="preserve">Oranjestad</t>
  </si>
  <si>
    <t xml:space="preserve">Afghanistan</t>
  </si>
  <si>
    <t xml:space="preserve">Middle East, North Africa, Afghanistan &amp; Pakistan</t>
  </si>
  <si>
    <t xml:space="preserve">Low income</t>
  </si>
  <si>
    <t xml:space="preserve">Kabul</t>
  </si>
  <si>
    <t xml:space="preserve">AFG</t>
  </si>
  <si>
    <t xml:space="preserve">Angola</t>
  </si>
  <si>
    <t xml:space="preserve">Sub-Saharan Africa </t>
  </si>
  <si>
    <t xml:space="preserve">Lower middle income</t>
  </si>
  <si>
    <t xml:space="preserve">Luanda</t>
  </si>
  <si>
    <t xml:space="preserve">AGO</t>
  </si>
  <si>
    <t xml:space="preserve">Albania</t>
  </si>
  <si>
    <t xml:space="preserve">Europe &amp; Central Asia</t>
  </si>
  <si>
    <t xml:space="preserve">Upper middle income</t>
  </si>
  <si>
    <t xml:space="preserve">Tirane</t>
  </si>
  <si>
    <t xml:space="preserve">ALB</t>
  </si>
  <si>
    <t xml:space="preserve">Andorra</t>
  </si>
  <si>
    <t xml:space="preserve">Andorra la Vella</t>
  </si>
  <si>
    <t xml:space="preserve">United Arab Emirates</t>
  </si>
  <si>
    <t xml:space="preserve">Abu Dhabi</t>
  </si>
  <si>
    <t xml:space="preserve">ARE</t>
  </si>
  <si>
    <t xml:space="preserve">Argentina</t>
  </si>
  <si>
    <t xml:space="preserve">Buenos Aires</t>
  </si>
  <si>
    <t xml:space="preserve">ARG</t>
  </si>
  <si>
    <t xml:space="preserve">Armenia</t>
  </si>
  <si>
    <t xml:space="preserve">Yerevan</t>
  </si>
  <si>
    <t xml:space="preserve">ARM</t>
  </si>
  <si>
    <t xml:space="preserve">American Samoa</t>
  </si>
  <si>
    <t xml:space="preserve">East Asia &amp; Pacific</t>
  </si>
  <si>
    <t xml:space="preserve">Pago Pago</t>
  </si>
  <si>
    <t xml:space="preserve">Antigua and Barbuda</t>
  </si>
  <si>
    <t xml:space="preserve">Saint John's</t>
  </si>
  <si>
    <t xml:space="preserve">ATG</t>
  </si>
  <si>
    <t xml:space="preserve">Australia</t>
  </si>
  <si>
    <t xml:space="preserve">Canberra</t>
  </si>
  <si>
    <t xml:space="preserve">AUS</t>
  </si>
  <si>
    <t xml:space="preserve">Austria</t>
  </si>
  <si>
    <t xml:space="preserve">Vienna</t>
  </si>
  <si>
    <t xml:space="preserve">AUT</t>
  </si>
  <si>
    <t xml:space="preserve">Azerbaijan</t>
  </si>
  <si>
    <t xml:space="preserve">Baku</t>
  </si>
  <si>
    <t xml:space="preserve">AZE</t>
  </si>
  <si>
    <t xml:space="preserve">Burundi</t>
  </si>
  <si>
    <t xml:space="preserve">Bujumbura</t>
  </si>
  <si>
    <t xml:space="preserve">BDI</t>
  </si>
  <si>
    <t xml:space="preserve">Belgium</t>
  </si>
  <si>
    <t xml:space="preserve">Brussels</t>
  </si>
  <si>
    <t xml:space="preserve">BEL</t>
  </si>
  <si>
    <t xml:space="preserve">Benin</t>
  </si>
  <si>
    <t xml:space="preserve">Porto-Novo</t>
  </si>
  <si>
    <t xml:space="preserve">BEN</t>
  </si>
  <si>
    <t xml:space="preserve">Burkina Faso</t>
  </si>
  <si>
    <t xml:space="preserve">Ouagadougou</t>
  </si>
  <si>
    <t xml:space="preserve">BFA</t>
  </si>
  <si>
    <t xml:space="preserve">Bangladesh</t>
  </si>
  <si>
    <t xml:space="preserve">South Asia</t>
  </si>
  <si>
    <t xml:space="preserve">Dhaka</t>
  </si>
  <si>
    <t xml:space="preserve">BGD</t>
  </si>
  <si>
    <t xml:space="preserve">Bulgaria</t>
  </si>
  <si>
    <t xml:space="preserve">Sofia</t>
  </si>
  <si>
    <t xml:space="preserve">BGR</t>
  </si>
  <si>
    <t xml:space="preserve">Bahrain</t>
  </si>
  <si>
    <t xml:space="preserve">Manama</t>
  </si>
  <si>
    <t xml:space="preserve">BHR</t>
  </si>
  <si>
    <t xml:space="preserve">Bahamas, The</t>
  </si>
  <si>
    <t xml:space="preserve">Nassau</t>
  </si>
  <si>
    <t xml:space="preserve">BHS</t>
  </si>
  <si>
    <t xml:space="preserve">Bosnia and Herzegovina</t>
  </si>
  <si>
    <t xml:space="preserve">Sarajevo</t>
  </si>
  <si>
    <t xml:space="preserve">BIH</t>
  </si>
  <si>
    <t xml:space="preserve">Belarus</t>
  </si>
  <si>
    <t xml:space="preserve">Minsk</t>
  </si>
  <si>
    <t xml:space="preserve">BLR</t>
  </si>
  <si>
    <t xml:space="preserve">Belize</t>
  </si>
  <si>
    <t xml:space="preserve">Belmopan</t>
  </si>
  <si>
    <t xml:space="preserve">BLZ</t>
  </si>
  <si>
    <t xml:space="preserve">Bermuda</t>
  </si>
  <si>
    <t xml:space="preserve">North America</t>
  </si>
  <si>
    <t xml:space="preserve">Hamilton</t>
  </si>
  <si>
    <t xml:space="preserve">Bolivia</t>
  </si>
  <si>
    <t xml:space="preserve">La Paz</t>
  </si>
  <si>
    <t xml:space="preserve">BOL</t>
  </si>
  <si>
    <t xml:space="preserve">Brazil</t>
  </si>
  <si>
    <t xml:space="preserve">Brasilia</t>
  </si>
  <si>
    <t xml:space="preserve">BRA</t>
  </si>
  <si>
    <t xml:space="preserve">Barbados</t>
  </si>
  <si>
    <t xml:space="preserve">Bridgetown</t>
  </si>
  <si>
    <t xml:space="preserve">BRB</t>
  </si>
  <si>
    <t xml:space="preserve">Brunei Darussalam</t>
  </si>
  <si>
    <t xml:space="preserve">Bandar Seri Begawan</t>
  </si>
  <si>
    <t xml:space="preserve">BRN</t>
  </si>
  <si>
    <t xml:space="preserve">Bhutan</t>
  </si>
  <si>
    <t xml:space="preserve">Thimphu</t>
  </si>
  <si>
    <t xml:space="preserve">BTN</t>
  </si>
  <si>
    <t xml:space="preserve">Botswana</t>
  </si>
  <si>
    <t xml:space="preserve">Gaborone</t>
  </si>
  <si>
    <t xml:space="preserve">BWA</t>
  </si>
  <si>
    <t xml:space="preserve">Central African Republic</t>
  </si>
  <si>
    <t xml:space="preserve">Bangui</t>
  </si>
  <si>
    <t xml:space="preserve">CAF</t>
  </si>
  <si>
    <t xml:space="preserve">Canada</t>
  </si>
  <si>
    <t xml:space="preserve">Ottawa</t>
  </si>
  <si>
    <t xml:space="preserve">CAN</t>
  </si>
  <si>
    <t xml:space="preserve">Switzerland</t>
  </si>
  <si>
    <t xml:space="preserve">Bern</t>
  </si>
  <si>
    <t xml:space="preserve">CHE</t>
  </si>
  <si>
    <t xml:space="preserve">Channel Islands</t>
  </si>
  <si>
    <t xml:space="preserve">Chile</t>
  </si>
  <si>
    <t xml:space="preserve">Santiago</t>
  </si>
  <si>
    <t xml:space="preserve">CHL</t>
  </si>
  <si>
    <t xml:space="preserve">China</t>
  </si>
  <si>
    <t xml:space="preserve">Beijing</t>
  </si>
  <si>
    <t xml:space="preserve">CHN</t>
  </si>
  <si>
    <t xml:space="preserve">Cote d'Ivoire</t>
  </si>
  <si>
    <t xml:space="preserve">Yamoussoukro</t>
  </si>
  <si>
    <t xml:space="preserve">CIV</t>
  </si>
  <si>
    <t xml:space="preserve">Cameroon</t>
  </si>
  <si>
    <t xml:space="preserve">Yaounde</t>
  </si>
  <si>
    <t xml:space="preserve">CMR</t>
  </si>
  <si>
    <t xml:space="preserve">Congo, Dem. Rep.</t>
  </si>
  <si>
    <t xml:space="preserve">Kinshasa</t>
  </si>
  <si>
    <t xml:space="preserve">Congo, Rep.</t>
  </si>
  <si>
    <t xml:space="preserve">Brazzaville</t>
  </si>
  <si>
    <t xml:space="preserve">COG</t>
  </si>
  <si>
    <t xml:space="preserve">Colombia</t>
  </si>
  <si>
    <t xml:space="preserve">Bogota</t>
  </si>
  <si>
    <t xml:space="preserve">COL</t>
  </si>
  <si>
    <t xml:space="preserve">Comoros</t>
  </si>
  <si>
    <t xml:space="preserve">Moroni</t>
  </si>
  <si>
    <t xml:space="preserve">COM</t>
  </si>
  <si>
    <t xml:space="preserve">Cabo Verde</t>
  </si>
  <si>
    <t xml:space="preserve">Praia</t>
  </si>
  <si>
    <t xml:space="preserve">CPV</t>
  </si>
  <si>
    <t xml:space="preserve">Costa Rica</t>
  </si>
  <si>
    <t xml:space="preserve">San Jose</t>
  </si>
  <si>
    <t xml:space="preserve">CRI</t>
  </si>
  <si>
    <t xml:space="preserve">Cuba</t>
  </si>
  <si>
    <t xml:space="preserve">Havana</t>
  </si>
  <si>
    <t xml:space="preserve">Curacao</t>
  </si>
  <si>
    <t xml:space="preserve">Willemstad</t>
  </si>
  <si>
    <t xml:space="preserve">Cayman Islands</t>
  </si>
  <si>
    <t xml:space="preserve">George Town</t>
  </si>
  <si>
    <t xml:space="preserve">Cyprus</t>
  </si>
  <si>
    <t xml:space="preserve">Nicosia</t>
  </si>
  <si>
    <t xml:space="preserve">CYP</t>
  </si>
  <si>
    <t xml:space="preserve">Czechia</t>
  </si>
  <si>
    <t xml:space="preserve">Prague</t>
  </si>
  <si>
    <t xml:space="preserve">CZE</t>
  </si>
  <si>
    <t xml:space="preserve">Germany</t>
  </si>
  <si>
    <t xml:space="preserve">Berlin</t>
  </si>
  <si>
    <t xml:space="preserve">DEU</t>
  </si>
  <si>
    <t xml:space="preserve">Djibouti</t>
  </si>
  <si>
    <t xml:space="preserve">DJI</t>
  </si>
  <si>
    <t xml:space="preserve">Dominica</t>
  </si>
  <si>
    <t xml:space="preserve">Roseau</t>
  </si>
  <si>
    <t xml:space="preserve">DMA</t>
  </si>
  <si>
    <t xml:space="preserve">Denmark</t>
  </si>
  <si>
    <t xml:space="preserve">Copenhagen</t>
  </si>
  <si>
    <t xml:space="preserve">DNK</t>
  </si>
  <si>
    <t xml:space="preserve">Dominican Republic</t>
  </si>
  <si>
    <t xml:space="preserve">Santo Domingo</t>
  </si>
  <si>
    <t xml:space="preserve">DOM</t>
  </si>
  <si>
    <t xml:space="preserve">Algeria</t>
  </si>
  <si>
    <t xml:space="preserve">Algiers</t>
  </si>
  <si>
    <t xml:space="preserve">DZA</t>
  </si>
  <si>
    <t xml:space="preserve">Ecuador</t>
  </si>
  <si>
    <t xml:space="preserve">Quito</t>
  </si>
  <si>
    <t xml:space="preserve">ECU</t>
  </si>
  <si>
    <t xml:space="preserve">Egypt, Arab Rep.</t>
  </si>
  <si>
    <t xml:space="preserve">Cairo</t>
  </si>
  <si>
    <t xml:space="preserve">EGY</t>
  </si>
  <si>
    <t xml:space="preserve">Eritrea</t>
  </si>
  <si>
    <t xml:space="preserve">Asmara</t>
  </si>
  <si>
    <t xml:space="preserve">Spain</t>
  </si>
  <si>
    <t xml:space="preserve">Madrid</t>
  </si>
  <si>
    <t xml:space="preserve">ESP</t>
  </si>
  <si>
    <t xml:space="preserve">Estonia</t>
  </si>
  <si>
    <t xml:space="preserve">Tallinn</t>
  </si>
  <si>
    <t xml:space="preserve">EST</t>
  </si>
  <si>
    <t xml:space="preserve">Ethiopia</t>
  </si>
  <si>
    <t xml:space="preserve">Addis Ababa</t>
  </si>
  <si>
    <t xml:space="preserve">ETH</t>
  </si>
  <si>
    <t xml:space="preserve">Finland</t>
  </si>
  <si>
    <t xml:space="preserve">Helsinki</t>
  </si>
  <si>
    <t xml:space="preserve">FIN</t>
  </si>
  <si>
    <t xml:space="preserve">Fiji</t>
  </si>
  <si>
    <t xml:space="preserve">Suva</t>
  </si>
  <si>
    <t xml:space="preserve">FJI</t>
  </si>
  <si>
    <t xml:space="preserve">France</t>
  </si>
  <si>
    <t xml:space="preserve">Paris</t>
  </si>
  <si>
    <t xml:space="preserve">FRA</t>
  </si>
  <si>
    <t xml:space="preserve">Faroe Islands</t>
  </si>
  <si>
    <t xml:space="preserve">Torshavn</t>
  </si>
  <si>
    <t xml:space="preserve">Micronesia, Fed. Sts.</t>
  </si>
  <si>
    <t xml:space="preserve">Palikir</t>
  </si>
  <si>
    <t xml:space="preserve">FSM</t>
  </si>
  <si>
    <t xml:space="preserve">Gabon</t>
  </si>
  <si>
    <t xml:space="preserve">Libreville</t>
  </si>
  <si>
    <t xml:space="preserve">GAB</t>
  </si>
  <si>
    <t xml:space="preserve">United Kingdom</t>
  </si>
  <si>
    <t xml:space="preserve">London</t>
  </si>
  <si>
    <t xml:space="preserve">GBR</t>
  </si>
  <si>
    <t xml:space="preserve">Georgia</t>
  </si>
  <si>
    <t xml:space="preserve">Tbilisi</t>
  </si>
  <si>
    <t xml:space="preserve">GEO</t>
  </si>
  <si>
    <t xml:space="preserve">Ghana</t>
  </si>
  <si>
    <t xml:space="preserve">Accra</t>
  </si>
  <si>
    <t xml:space="preserve">GHA</t>
  </si>
  <si>
    <t xml:space="preserve">Gibraltar</t>
  </si>
  <si>
    <t xml:space="preserve">Guinea</t>
  </si>
  <si>
    <t xml:space="preserve">Conakry</t>
  </si>
  <si>
    <t xml:space="preserve">GIN</t>
  </si>
  <si>
    <t xml:space="preserve">Gambia, The</t>
  </si>
  <si>
    <t xml:space="preserve">Banjul</t>
  </si>
  <si>
    <t xml:space="preserve">GMB</t>
  </si>
  <si>
    <t xml:space="preserve">Guinea-Bissau</t>
  </si>
  <si>
    <t xml:space="preserve">Bissau</t>
  </si>
  <si>
    <t xml:space="preserve">GNB</t>
  </si>
  <si>
    <t xml:space="preserve">Equatorial Guinea</t>
  </si>
  <si>
    <t xml:space="preserve">Malabo</t>
  </si>
  <si>
    <t xml:space="preserve">GNQ</t>
  </si>
  <si>
    <t xml:space="preserve">Greece</t>
  </si>
  <si>
    <t xml:space="preserve">Athens</t>
  </si>
  <si>
    <t xml:space="preserve">GRC</t>
  </si>
  <si>
    <t xml:space="preserve">Grenada</t>
  </si>
  <si>
    <t xml:space="preserve">Saint George's</t>
  </si>
  <si>
    <t xml:space="preserve">GRD</t>
  </si>
  <si>
    <t xml:space="preserve">Greenland</t>
  </si>
  <si>
    <t xml:space="preserve">Nuuk</t>
  </si>
  <si>
    <t xml:space="preserve">Guatemala</t>
  </si>
  <si>
    <t xml:space="preserve">Guatemala City</t>
  </si>
  <si>
    <t xml:space="preserve">GTM</t>
  </si>
  <si>
    <t xml:space="preserve">Guam</t>
  </si>
  <si>
    <t xml:space="preserve">Agana</t>
  </si>
  <si>
    <t xml:space="preserve">Guyana</t>
  </si>
  <si>
    <t xml:space="preserve">Georgetown</t>
  </si>
  <si>
    <t xml:space="preserve">GUY</t>
  </si>
  <si>
    <t xml:space="preserve">Hong Kong SAR, China</t>
  </si>
  <si>
    <t xml:space="preserve">HKG</t>
  </si>
  <si>
    <t xml:space="preserve">Honduras</t>
  </si>
  <si>
    <t xml:space="preserve">Tegucigalpa</t>
  </si>
  <si>
    <t xml:space="preserve">HND</t>
  </si>
  <si>
    <t xml:space="preserve">Croatia</t>
  </si>
  <si>
    <t xml:space="preserve">Zagreb</t>
  </si>
  <si>
    <t xml:space="preserve">HRV</t>
  </si>
  <si>
    <t xml:space="preserve">Haiti</t>
  </si>
  <si>
    <t xml:space="preserve">Port-au-Prince</t>
  </si>
  <si>
    <t xml:space="preserve">HTI</t>
  </si>
  <si>
    <t xml:space="preserve">Hungary</t>
  </si>
  <si>
    <t xml:space="preserve">Budapest</t>
  </si>
  <si>
    <t xml:space="preserve">HUN</t>
  </si>
  <si>
    <t xml:space="preserve">Indonesia</t>
  </si>
  <si>
    <t xml:space="preserve">Jakarta</t>
  </si>
  <si>
    <t xml:space="preserve">IDN</t>
  </si>
  <si>
    <t xml:space="preserve">Isle of Man</t>
  </si>
  <si>
    <t xml:space="preserve">Douglas</t>
  </si>
  <si>
    <t xml:space="preserve">India</t>
  </si>
  <si>
    <t xml:space="preserve">New Delhi</t>
  </si>
  <si>
    <t xml:space="preserve">IND</t>
  </si>
  <si>
    <t xml:space="preserve">Ireland</t>
  </si>
  <si>
    <t xml:space="preserve">Dublin</t>
  </si>
  <si>
    <t xml:space="preserve">IRL</t>
  </si>
  <si>
    <t xml:space="preserve">Iran, Islamic Rep.</t>
  </si>
  <si>
    <t xml:space="preserve">Tehran</t>
  </si>
  <si>
    <t xml:space="preserve">IRN</t>
  </si>
  <si>
    <t xml:space="preserve">Iraq</t>
  </si>
  <si>
    <t xml:space="preserve">Baghdad</t>
  </si>
  <si>
    <t xml:space="preserve">IRQ</t>
  </si>
  <si>
    <t xml:space="preserve">Iceland</t>
  </si>
  <si>
    <t xml:space="preserve">Reykjavik</t>
  </si>
  <si>
    <t xml:space="preserve">ISL</t>
  </si>
  <si>
    <t xml:space="preserve">Israel</t>
  </si>
  <si>
    <t xml:space="preserve">ISR</t>
  </si>
  <si>
    <t xml:space="preserve">Italy</t>
  </si>
  <si>
    <t xml:space="preserve">Rome</t>
  </si>
  <si>
    <t xml:space="preserve">ITA</t>
  </si>
  <si>
    <t xml:space="preserve">Jamaica</t>
  </si>
  <si>
    <t xml:space="preserve">Kingston</t>
  </si>
  <si>
    <t xml:space="preserve">JAM</t>
  </si>
  <si>
    <t xml:space="preserve">Jordan</t>
  </si>
  <si>
    <t xml:space="preserve">Amman</t>
  </si>
  <si>
    <t xml:space="preserve">JOR</t>
  </si>
  <si>
    <t xml:space="preserve">Japan</t>
  </si>
  <si>
    <t xml:space="preserve">Tokyo</t>
  </si>
  <si>
    <t xml:space="preserve">JPN</t>
  </si>
  <si>
    <t xml:space="preserve">Kazakhstan</t>
  </si>
  <si>
    <t xml:space="preserve">Astana</t>
  </si>
  <si>
    <t xml:space="preserve">KAZ</t>
  </si>
  <si>
    <t xml:space="preserve">Kenya</t>
  </si>
  <si>
    <t xml:space="preserve">Nairobi</t>
  </si>
  <si>
    <t xml:space="preserve">KEN</t>
  </si>
  <si>
    <t xml:space="preserve">Kyrgyz Republic</t>
  </si>
  <si>
    <t xml:space="preserve">Bishkek</t>
  </si>
  <si>
    <t xml:space="preserve">KGZ</t>
  </si>
  <si>
    <t xml:space="preserve">Cambodia</t>
  </si>
  <si>
    <t xml:space="preserve">Phnom Penh</t>
  </si>
  <si>
    <t xml:space="preserve">KHM</t>
  </si>
  <si>
    <t xml:space="preserve">Kiribati</t>
  </si>
  <si>
    <t xml:space="preserve">Tarawa</t>
  </si>
  <si>
    <t xml:space="preserve">KIR</t>
  </si>
  <si>
    <t xml:space="preserve">St. Kitts and Nevis</t>
  </si>
  <si>
    <t xml:space="preserve">Basseterre</t>
  </si>
  <si>
    <t xml:space="preserve">KNA</t>
  </si>
  <si>
    <t xml:space="preserve">Korea, Rep.</t>
  </si>
  <si>
    <t xml:space="preserve">Seoul</t>
  </si>
  <si>
    <t xml:space="preserve">KOR</t>
  </si>
  <si>
    <t xml:space="preserve">Kuwait</t>
  </si>
  <si>
    <t xml:space="preserve">Kuwait City</t>
  </si>
  <si>
    <t xml:space="preserve">KWT</t>
  </si>
  <si>
    <t xml:space="preserve">Lao PDR</t>
  </si>
  <si>
    <t xml:space="preserve">Vientiane</t>
  </si>
  <si>
    <t xml:space="preserve">LAO</t>
  </si>
  <si>
    <t xml:space="preserve">Lebanon</t>
  </si>
  <si>
    <t xml:space="preserve">Beirut</t>
  </si>
  <si>
    <t xml:space="preserve">LBN</t>
  </si>
  <si>
    <t xml:space="preserve">Liberia</t>
  </si>
  <si>
    <t xml:space="preserve">Monrovia</t>
  </si>
  <si>
    <t xml:space="preserve">LBR</t>
  </si>
  <si>
    <t xml:space="preserve">Libya</t>
  </si>
  <si>
    <t xml:space="preserve">Tripoli</t>
  </si>
  <si>
    <t xml:space="preserve">LBY</t>
  </si>
  <si>
    <t xml:space="preserve">St. Lucia</t>
  </si>
  <si>
    <t xml:space="preserve">Castries</t>
  </si>
  <si>
    <t xml:space="preserve">LCA</t>
  </si>
  <si>
    <t xml:space="preserve">Liechtenstein</t>
  </si>
  <si>
    <t xml:space="preserve">Vaduz</t>
  </si>
  <si>
    <t xml:space="preserve">Sri Lanka</t>
  </si>
  <si>
    <t xml:space="preserve">Colombo</t>
  </si>
  <si>
    <t xml:space="preserve">LKA</t>
  </si>
  <si>
    <t xml:space="preserve">Lesotho</t>
  </si>
  <si>
    <t xml:space="preserve">Maseru</t>
  </si>
  <si>
    <t xml:space="preserve">LSO</t>
  </si>
  <si>
    <t xml:space="preserve">Lithuania</t>
  </si>
  <si>
    <t xml:space="preserve">Vilnius</t>
  </si>
  <si>
    <t xml:space="preserve">LTU</t>
  </si>
  <si>
    <t xml:space="preserve">Luxembourg</t>
  </si>
  <si>
    <t xml:space="preserve">LUX</t>
  </si>
  <si>
    <t xml:space="preserve">Latvia</t>
  </si>
  <si>
    <t xml:space="preserve">Riga</t>
  </si>
  <si>
    <t xml:space="preserve">LVA</t>
  </si>
  <si>
    <t xml:space="preserve">Macao SAR, China</t>
  </si>
  <si>
    <t xml:space="preserve">MAC</t>
  </si>
  <si>
    <t xml:space="preserve">St. Martin (French part)</t>
  </si>
  <si>
    <t xml:space="preserve">Marigot</t>
  </si>
  <si>
    <t xml:space="preserve">Morocco</t>
  </si>
  <si>
    <t xml:space="preserve">Rabat</t>
  </si>
  <si>
    <t xml:space="preserve">MAR</t>
  </si>
  <si>
    <t xml:space="preserve">Monaco</t>
  </si>
  <si>
    <t xml:space="preserve">Moldova</t>
  </si>
  <si>
    <t xml:space="preserve">Chisinau</t>
  </si>
  <si>
    <t xml:space="preserve">MDA</t>
  </si>
  <si>
    <t xml:space="preserve">Madagascar</t>
  </si>
  <si>
    <t xml:space="preserve">Antananarivo</t>
  </si>
  <si>
    <t xml:space="preserve">MDG</t>
  </si>
  <si>
    <t xml:space="preserve">Maldives</t>
  </si>
  <si>
    <t xml:space="preserve">Male</t>
  </si>
  <si>
    <t xml:space="preserve">MDV</t>
  </si>
  <si>
    <t xml:space="preserve">Mexico</t>
  </si>
  <si>
    <t xml:space="preserve">Mexico City</t>
  </si>
  <si>
    <t xml:space="preserve">MEX</t>
  </si>
  <si>
    <t xml:space="preserve">Marshall Islands</t>
  </si>
  <si>
    <t xml:space="preserve">Majuro</t>
  </si>
  <si>
    <t xml:space="preserve">North Macedonia</t>
  </si>
  <si>
    <t xml:space="preserve">Skopje</t>
  </si>
  <si>
    <t xml:space="preserve">MKD</t>
  </si>
  <si>
    <t xml:space="preserve">Mali</t>
  </si>
  <si>
    <t xml:space="preserve">Bamako</t>
  </si>
  <si>
    <t xml:space="preserve">MLI</t>
  </si>
  <si>
    <t xml:space="preserve">Malta</t>
  </si>
  <si>
    <t xml:space="preserve">Valletta</t>
  </si>
  <si>
    <t xml:space="preserve">MLT</t>
  </si>
  <si>
    <t xml:space="preserve">Myanmar</t>
  </si>
  <si>
    <t xml:space="preserve">Naypyidaw</t>
  </si>
  <si>
    <t xml:space="preserve">Montenegro</t>
  </si>
  <si>
    <t xml:space="preserve">Podgorica</t>
  </si>
  <si>
    <t xml:space="preserve">MNE</t>
  </si>
  <si>
    <t xml:space="preserve">Mongolia</t>
  </si>
  <si>
    <t xml:space="preserve">Ulaanbaatar</t>
  </si>
  <si>
    <t xml:space="preserve">MNG</t>
  </si>
  <si>
    <t xml:space="preserve">Northern Mariana Islands</t>
  </si>
  <si>
    <t xml:space="preserve">Saipan</t>
  </si>
  <si>
    <t xml:space="preserve">Mozambique</t>
  </si>
  <si>
    <t xml:space="preserve">Maputo</t>
  </si>
  <si>
    <t xml:space="preserve">MOZ</t>
  </si>
  <si>
    <t xml:space="preserve">Mauritania</t>
  </si>
  <si>
    <t xml:space="preserve">Nouakchott</t>
  </si>
  <si>
    <t xml:space="preserve">MRT</t>
  </si>
  <si>
    <t xml:space="preserve">Mauritius</t>
  </si>
  <si>
    <t xml:space="preserve">Port Louis</t>
  </si>
  <si>
    <t xml:space="preserve">MUS</t>
  </si>
  <si>
    <t xml:space="preserve">Malawi</t>
  </si>
  <si>
    <t xml:space="preserve">Lilongwe</t>
  </si>
  <si>
    <t xml:space="preserve">MWI</t>
  </si>
  <si>
    <t xml:space="preserve">Malaysia</t>
  </si>
  <si>
    <t xml:space="preserve">Kuala Lumpur</t>
  </si>
  <si>
    <t xml:space="preserve">MYS</t>
  </si>
  <si>
    <t xml:space="preserve">Namibia</t>
  </si>
  <si>
    <t xml:space="preserve">Windhoek</t>
  </si>
  <si>
    <t xml:space="preserve">NAM</t>
  </si>
  <si>
    <t xml:space="preserve">New Caledonia</t>
  </si>
  <si>
    <t xml:space="preserve">Noum'ea</t>
  </si>
  <si>
    <t xml:space="preserve">Niger</t>
  </si>
  <si>
    <t xml:space="preserve">Niamey</t>
  </si>
  <si>
    <t xml:space="preserve">NER</t>
  </si>
  <si>
    <t xml:space="preserve">Nigeria</t>
  </si>
  <si>
    <t xml:space="preserve">Abuja</t>
  </si>
  <si>
    <t xml:space="preserve">NGA</t>
  </si>
  <si>
    <t xml:space="preserve">Nicaragua</t>
  </si>
  <si>
    <t xml:space="preserve">Managua</t>
  </si>
  <si>
    <t xml:space="preserve">NIC</t>
  </si>
  <si>
    <t xml:space="preserve">Netherlands</t>
  </si>
  <si>
    <t xml:space="preserve">Amsterdam</t>
  </si>
  <si>
    <t xml:space="preserve">NLD</t>
  </si>
  <si>
    <t xml:space="preserve">Norway</t>
  </si>
  <si>
    <t xml:space="preserve">Oslo</t>
  </si>
  <si>
    <t xml:space="preserve">NOR</t>
  </si>
  <si>
    <t xml:space="preserve">Nepal</t>
  </si>
  <si>
    <t xml:space="preserve">Kathmandu</t>
  </si>
  <si>
    <t xml:space="preserve">NPL</t>
  </si>
  <si>
    <t xml:space="preserve">Naoero</t>
  </si>
  <si>
    <t xml:space="preserve">Yaren District</t>
  </si>
  <si>
    <t xml:space="preserve">New Zealand</t>
  </si>
  <si>
    <t xml:space="preserve">Wellington</t>
  </si>
  <si>
    <t xml:space="preserve">NZL</t>
  </si>
  <si>
    <t xml:space="preserve">Oman</t>
  </si>
  <si>
    <t xml:space="preserve">Muscat</t>
  </si>
  <si>
    <t xml:space="preserve">OMN</t>
  </si>
  <si>
    <t xml:space="preserve">Pakistan</t>
  </si>
  <si>
    <t xml:space="preserve">Islamabad</t>
  </si>
  <si>
    <t xml:space="preserve">PAK</t>
  </si>
  <si>
    <t xml:space="preserve">Panama</t>
  </si>
  <si>
    <t xml:space="preserve">Panama City</t>
  </si>
  <si>
    <t xml:space="preserve">PAN</t>
  </si>
  <si>
    <t xml:space="preserve">Peru</t>
  </si>
  <si>
    <t xml:space="preserve">Lima</t>
  </si>
  <si>
    <t xml:space="preserve">PER</t>
  </si>
  <si>
    <t xml:space="preserve">Philippines</t>
  </si>
  <si>
    <t xml:space="preserve">Manila</t>
  </si>
  <si>
    <t xml:space="preserve">PHL</t>
  </si>
  <si>
    <t xml:space="preserve">Palau</t>
  </si>
  <si>
    <t xml:space="preserve">Koror</t>
  </si>
  <si>
    <t xml:space="preserve">PLW</t>
  </si>
  <si>
    <t xml:space="preserve">Papua New Guinea</t>
  </si>
  <si>
    <t xml:space="preserve">Port Moresby</t>
  </si>
  <si>
    <t xml:space="preserve">PNG</t>
  </si>
  <si>
    <t xml:space="preserve">Poland</t>
  </si>
  <si>
    <t xml:space="preserve">Warsaw</t>
  </si>
  <si>
    <t xml:space="preserve">POL</t>
  </si>
  <si>
    <t xml:space="preserve">Puerto Rico (US)</t>
  </si>
  <si>
    <t xml:space="preserve">San Juan</t>
  </si>
  <si>
    <t xml:space="preserve">Korea, Dem. People's Rep.</t>
  </si>
  <si>
    <t xml:space="preserve">Pyongyang</t>
  </si>
  <si>
    <t xml:space="preserve">Portugal</t>
  </si>
  <si>
    <t xml:space="preserve">Lisbon</t>
  </si>
  <si>
    <t xml:space="preserve">PRT</t>
  </si>
  <si>
    <t xml:space="preserve">Paraguay</t>
  </si>
  <si>
    <t xml:space="preserve">Asuncion</t>
  </si>
  <si>
    <t xml:space="preserve">PRY</t>
  </si>
  <si>
    <t xml:space="preserve">West Bank and Gaza</t>
  </si>
  <si>
    <t xml:space="preserve">PSE</t>
  </si>
  <si>
    <t xml:space="preserve">French Polynesia</t>
  </si>
  <si>
    <t xml:space="preserve">Papeete</t>
  </si>
  <si>
    <t xml:space="preserve">Qatar</t>
  </si>
  <si>
    <t xml:space="preserve">Doha</t>
  </si>
  <si>
    <t xml:space="preserve">QAT</t>
  </si>
  <si>
    <t xml:space="preserve">Romania</t>
  </si>
  <si>
    <t xml:space="preserve">Bucharest</t>
  </si>
  <si>
    <t xml:space="preserve">ROU</t>
  </si>
  <si>
    <t xml:space="preserve">Russian Federation</t>
  </si>
  <si>
    <t xml:space="preserve">Moscow</t>
  </si>
  <si>
    <t xml:space="preserve">RUS</t>
  </si>
  <si>
    <t xml:space="preserve">Rwanda</t>
  </si>
  <si>
    <t xml:space="preserve">Kigali</t>
  </si>
  <si>
    <t xml:space="preserve">RWA</t>
  </si>
  <si>
    <t xml:space="preserve">Saudi Arabia</t>
  </si>
  <si>
    <t xml:space="preserve">Riyadh</t>
  </si>
  <si>
    <t xml:space="preserve">SAU</t>
  </si>
  <si>
    <t xml:space="preserve">Sudan</t>
  </si>
  <si>
    <t xml:space="preserve">Khartoum</t>
  </si>
  <si>
    <t xml:space="preserve">SDN</t>
  </si>
  <si>
    <t xml:space="preserve">Senegal</t>
  </si>
  <si>
    <t xml:space="preserve">Dakar</t>
  </si>
  <si>
    <t xml:space="preserve">SEN</t>
  </si>
  <si>
    <t xml:space="preserve">Singapore</t>
  </si>
  <si>
    <t xml:space="preserve">SGP</t>
  </si>
  <si>
    <t xml:space="preserve">Solomon Islands</t>
  </si>
  <si>
    <t xml:space="preserve">Honiara</t>
  </si>
  <si>
    <t xml:space="preserve">SLB</t>
  </si>
  <si>
    <t xml:space="preserve">Sierra Leone</t>
  </si>
  <si>
    <t xml:space="preserve">Freetown</t>
  </si>
  <si>
    <t xml:space="preserve">SLE</t>
  </si>
  <si>
    <t xml:space="preserve">El Salvador</t>
  </si>
  <si>
    <t xml:space="preserve">San Salvador</t>
  </si>
  <si>
    <t xml:space="preserve">SLV</t>
  </si>
  <si>
    <t xml:space="preserve">San Marino</t>
  </si>
  <si>
    <t xml:space="preserve">SMR</t>
  </si>
  <si>
    <t xml:space="preserve">Somalia, Fed. Rep.</t>
  </si>
  <si>
    <t xml:space="preserve">Mogadishu</t>
  </si>
  <si>
    <t xml:space="preserve">Serbia</t>
  </si>
  <si>
    <t xml:space="preserve">Belgrade</t>
  </si>
  <si>
    <t xml:space="preserve">SRB</t>
  </si>
  <si>
    <t xml:space="preserve">South Sudan</t>
  </si>
  <si>
    <t xml:space="preserve">Juba</t>
  </si>
  <si>
    <t xml:space="preserve">SSD</t>
  </si>
  <si>
    <t xml:space="preserve">Sao Tome and Principe</t>
  </si>
  <si>
    <t xml:space="preserve">Sao Tome</t>
  </si>
  <si>
    <t xml:space="preserve">STP</t>
  </si>
  <si>
    <t xml:space="preserve">Suriname</t>
  </si>
  <si>
    <t xml:space="preserve">Paramaribo</t>
  </si>
  <si>
    <t xml:space="preserve">SUR</t>
  </si>
  <si>
    <t xml:space="preserve">Slovak Republic</t>
  </si>
  <si>
    <t xml:space="preserve">Bratislava</t>
  </si>
  <si>
    <t xml:space="preserve">SVK</t>
  </si>
  <si>
    <t xml:space="preserve">Slovenia</t>
  </si>
  <si>
    <t xml:space="preserve">Ljubljana</t>
  </si>
  <si>
    <t xml:space="preserve">SVN</t>
  </si>
  <si>
    <t xml:space="preserve">Sweden</t>
  </si>
  <si>
    <t xml:space="preserve">Stockholm</t>
  </si>
  <si>
    <t xml:space="preserve">SWE</t>
  </si>
  <si>
    <t xml:space="preserve">Eswatini</t>
  </si>
  <si>
    <t xml:space="preserve">Mbabane</t>
  </si>
  <si>
    <t xml:space="preserve">Sint Maarten (Dutch part)</t>
  </si>
  <si>
    <t xml:space="preserve">Philipsburg</t>
  </si>
  <si>
    <t xml:space="preserve">Seychelles</t>
  </si>
  <si>
    <t xml:space="preserve">Victoria</t>
  </si>
  <si>
    <t xml:space="preserve">SYC</t>
  </si>
  <si>
    <t xml:space="preserve">Syrian Arab Republic</t>
  </si>
  <si>
    <t xml:space="preserve">Damascus</t>
  </si>
  <si>
    <t xml:space="preserve">Turks and Caicos Islands</t>
  </si>
  <si>
    <t xml:space="preserve">Grand Turk</t>
  </si>
  <si>
    <t xml:space="preserve">Chad</t>
  </si>
  <si>
    <t xml:space="preserve">N'Djamena</t>
  </si>
  <si>
    <t xml:space="preserve">TCD</t>
  </si>
  <si>
    <t xml:space="preserve">Togo</t>
  </si>
  <si>
    <t xml:space="preserve">Lome</t>
  </si>
  <si>
    <t xml:space="preserve">TGO</t>
  </si>
  <si>
    <t xml:space="preserve">Thailand</t>
  </si>
  <si>
    <t xml:space="preserve">Bangkok</t>
  </si>
  <si>
    <t xml:space="preserve">THA</t>
  </si>
  <si>
    <t xml:space="preserve">Tajikistan</t>
  </si>
  <si>
    <t xml:space="preserve">Dushanbe</t>
  </si>
  <si>
    <t xml:space="preserve">Turkmenistan</t>
  </si>
  <si>
    <t xml:space="preserve">Ashgabat</t>
  </si>
  <si>
    <t xml:space="preserve">Timor-Leste</t>
  </si>
  <si>
    <t xml:space="preserve">Dili</t>
  </si>
  <si>
    <t xml:space="preserve">TLS</t>
  </si>
  <si>
    <t xml:space="preserve">Tonga</t>
  </si>
  <si>
    <t xml:space="preserve">Nuku'alofa</t>
  </si>
  <si>
    <t xml:space="preserve">TON</t>
  </si>
  <si>
    <t xml:space="preserve">Trinidad and Tobago</t>
  </si>
  <si>
    <t xml:space="preserve">Port-of-Spain</t>
  </si>
  <si>
    <t xml:space="preserve">TTO</t>
  </si>
  <si>
    <t xml:space="preserve">Tunisia</t>
  </si>
  <si>
    <t xml:space="preserve">Tunis</t>
  </si>
  <si>
    <t xml:space="preserve">TUN</t>
  </si>
  <si>
    <t xml:space="preserve">Turkiye</t>
  </si>
  <si>
    <t xml:space="preserve">Ankara</t>
  </si>
  <si>
    <t xml:space="preserve">TUR</t>
  </si>
  <si>
    <t xml:space="preserve">Tuvalu</t>
  </si>
  <si>
    <t xml:space="preserve">Funafuti</t>
  </si>
  <si>
    <t xml:space="preserve">Tanzania</t>
  </si>
  <si>
    <t xml:space="preserve">Dodoma</t>
  </si>
  <si>
    <t xml:space="preserve">TZA</t>
  </si>
  <si>
    <t xml:space="preserve">Uganda</t>
  </si>
  <si>
    <t xml:space="preserve">Kampala</t>
  </si>
  <si>
    <t xml:space="preserve">UGA</t>
  </si>
  <si>
    <t xml:space="preserve">Ukraine</t>
  </si>
  <si>
    <t xml:space="preserve">Kiev</t>
  </si>
  <si>
    <t xml:space="preserve">UKR</t>
  </si>
  <si>
    <t xml:space="preserve">Uruguay</t>
  </si>
  <si>
    <t xml:space="preserve">Montevideo</t>
  </si>
  <si>
    <t xml:space="preserve">URY</t>
  </si>
  <si>
    <t xml:space="preserve">United States</t>
  </si>
  <si>
    <t xml:space="preserve">Washington D.C.</t>
  </si>
  <si>
    <t xml:space="preserve">USA</t>
  </si>
  <si>
    <t xml:space="preserve">Uzbekistan</t>
  </si>
  <si>
    <t xml:space="preserve">Tashkent</t>
  </si>
  <si>
    <t xml:space="preserve">UZB</t>
  </si>
  <si>
    <t xml:space="preserve">St. Vincent and the Grenadines</t>
  </si>
  <si>
    <t xml:space="preserve">Kingstown</t>
  </si>
  <si>
    <t xml:space="preserve">VCT</t>
  </si>
  <si>
    <t xml:space="preserve">Venezuela, RB</t>
  </si>
  <si>
    <t xml:space="preserve">Caracas</t>
  </si>
  <si>
    <t xml:space="preserve">British Virgin Islands</t>
  </si>
  <si>
    <t xml:space="preserve">Road Town</t>
  </si>
  <si>
    <t xml:space="preserve">Virgin Islands (U.S.)</t>
  </si>
  <si>
    <t xml:space="preserve">Charlotte Amalie</t>
  </si>
  <si>
    <t xml:space="preserve">Viet Nam</t>
  </si>
  <si>
    <t xml:space="preserve">Hanoi</t>
  </si>
  <si>
    <t xml:space="preserve">VNM</t>
  </si>
  <si>
    <t xml:space="preserve">Vanuatu</t>
  </si>
  <si>
    <t xml:space="preserve">Port-Vila</t>
  </si>
  <si>
    <t xml:space="preserve">VUT</t>
  </si>
  <si>
    <t xml:space="preserve">Samoa</t>
  </si>
  <si>
    <t xml:space="preserve">Apia</t>
  </si>
  <si>
    <t xml:space="preserve">WSM</t>
  </si>
  <si>
    <t xml:space="preserve">Kosovo</t>
  </si>
  <si>
    <t xml:space="preserve">Pristina</t>
  </si>
  <si>
    <t xml:space="preserve">XKX</t>
  </si>
  <si>
    <t xml:space="preserve">Yemen, Rep.</t>
  </si>
  <si>
    <t xml:space="preserve">Sana'a</t>
  </si>
  <si>
    <t xml:space="preserve">South Africa</t>
  </si>
  <si>
    <t xml:space="preserve">Pretoria</t>
  </si>
  <si>
    <t xml:space="preserve">ZAF</t>
  </si>
  <si>
    <t xml:space="preserve">Zambia</t>
  </si>
  <si>
    <t xml:space="preserve">Lusaka</t>
  </si>
  <si>
    <t xml:space="preserve">ZMB</t>
  </si>
  <si>
    <t xml:space="preserve">Zimbabwe</t>
  </si>
  <si>
    <t xml:space="preserve">Harare</t>
  </si>
  <si>
    <t xml:space="preserve">ZWE</t>
  </si>
  <si>
    <t xml:space="preserve">data_completeness</t>
  </si>
  <si>
    <t xml:space="preserve">expansion_affordability_score</t>
  </si>
  <si>
    <t xml:space="preserve">rank_key</t>
  </si>
  <si>
    <t xml:space="preserve">Full data</t>
  </si>
  <si>
    <t xml:space="preserve">Inflation only</t>
  </si>
  <si>
    <t xml:space="preserve">Reference only</t>
  </si>
  <si>
    <t xml:space="preserve">Sub-Saharan Africa</t>
  </si>
  <si>
    <t xml:space="preserve">Latin America &amp; Caribbean</t>
  </si>
  <si>
    <t xml:space="preserve">Cost data only</t>
  </si>
  <si>
    <t xml:space="preserve">Regional Cost-of-Living Summary</t>
  </si>
  <si>
    <t xml:space="preserve">All figures computed live via AVERAGEIFS/COUNTIFS against Clean_Data</t>
  </si>
  <si>
    <t xml:space="preserve">Region</t>
  </si>
  <si>
    <t xml:space="preserve">Countries Reporting Cost Data</t>
  </si>
  <si>
    <t xml:space="preserve">Avg Cost of Living Index</t>
  </si>
  <si>
    <t xml:space="preserve">Avg Rent (USD/mo)</t>
  </si>
  <si>
    <t xml:space="preserve">Avg Purchasing Power Index</t>
  </si>
  <si>
    <t xml:space="preserve">Avg Inflation %</t>
  </si>
  <si>
    <t xml:space="preserve">Global Market Expansion &amp; Cost-of-Living Intelligence</t>
  </si>
  <si>
    <t xml:space="preserve">Source: Kaggle — World Bank inflation data + cost-of-living index mashup (217 countries)</t>
  </si>
  <si>
    <t xml:space="preserve">Total Countries (Reference)</t>
  </si>
  <si>
    <t xml:space="preserve">Countries with Full Cost Data</t>
  </si>
  <si>
    <t xml:space="preserve">Countries with Inflation Data Only</t>
  </si>
  <si>
    <t xml:space="preserve">Highest Inflation (Risk Flag)</t>
  </si>
  <si>
    <t xml:space="preserve">Most Affordable (Full Data, by Score)</t>
  </si>
  <si>
    <t xml:space="preserve">Top 10 Countries — Expansion Affordability Score (Full Data Only)</t>
  </si>
  <si>
    <t xml:space="preserve">Rank</t>
  </si>
  <si>
    <t xml:space="preserve">Country</t>
  </si>
  <si>
    <t xml:space="preserve">Score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</si>
</sst>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Cost of Living Index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Regional_Summary!C4</c:f>
              <c:strCache>
                <c:ptCount val="1"/>
                <c:pt idx="0">
                  <c:v>Avg Cost of Living Index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Regional_Summary!$A$5:$A$11</c:f>
              <c:strCache>
                <c:ptCount val="7"/>
                <c:pt idx="0">
                  <c:v>East Asia &amp; Pacific</c:v>
                </c:pt>
                <c:pt idx="1">
                  <c:v>Europe &amp; Central Asia</c:v>
                </c:pt>
                <c:pt idx="2">
                  <c:v>Latin America &amp; Caribbean</c:v>
                </c:pt>
                <c:pt idx="3">
                  <c:v>Middle East, North Africa, Afghanistan &amp; Pakistan</c:v>
                </c:pt>
                <c:pt idx="4">
                  <c:v>North America</c:v>
                </c:pt>
                <c:pt idx="5">
                  <c:v>South Asia</c:v>
                </c:pt>
                <c:pt idx="6">
                  <c:v>Sub-Saharan Africa</c:v>
                </c:pt>
              </c:strCache>
            </c:strRef>
          </c:cat>
          <c:val>
            <c:numRef>
              <c:f>Regional_Summary!$C$5:$C$10</c:f>
              <c:numCache>
                <c:formatCode>General</c:formatCode>
                <c:ptCount val="6"/>
                <c:pt idx="0">
                  <c:v>56.8</c:v>
                </c:pt>
                <c:pt idx="1">
                  <c:v>66.6</c:v>
                </c:pt>
                <c:pt idx="2">
                  <c:v>68.4</c:v>
                </c:pt>
                <c:pt idx="3">
                  <c:v>61.3</c:v>
                </c:pt>
                <c:pt idx="4">
                  <c:v>69.9</c:v>
                </c:pt>
                <c:pt idx="5">
                  <c:v>48.3</c:v>
                </c:pt>
              </c:numCache>
            </c:numRef>
          </c:val>
        </c:ser>
        <c:gapWidth val="150"/>
        <c:overlap val="0"/>
        <c:axId val="19091292"/>
        <c:axId val="66318040"/>
      </c:barChart>
      <c:catAx>
        <c:axId val="190912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18040"/>
        <c:crosses val="autoZero"/>
        <c:auto val="1"/>
        <c:lblAlgn val="ctr"/>
        <c:lblOffset val="100"/>
        <c:noMultiLvlLbl val="0"/>
      </c:catAx>
      <c:valAx>
        <c:axId val="663180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Cost of Living Index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0912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131040</xdr:rowOff>
    </xdr:from>
    <xdr:to>
      <xdr:col>19</xdr:col>
      <xdr:colOff>581400</xdr:colOff>
      <xdr:row>22</xdr:row>
      <xdr:rowOff>168120</xdr:rowOff>
    </xdr:to>
    <xdr:graphicFrame>
      <xdr:nvGraphicFramePr>
        <xdr:cNvPr id="0" name="Chart 1"/>
        <xdr:cNvGraphicFramePr/>
      </xdr:nvGraphicFramePr>
      <xdr:xfrm>
        <a:off x="10620360" y="57168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7" min="3" style="0" width="14"/>
    <col collapsed="false" customWidth="true" hidden="false" outlineLevel="0" max="9" min="8" style="0" width="16"/>
    <col collapsed="false" customWidth="true" hidden="false" outlineLevel="0" max="10" min="10" style="0" width="22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3" min="13" style="0" width="17"/>
    <col collapsed="false" customWidth="true" hidden="false" outlineLevel="0" max="14" min="14" style="0" width="19"/>
    <col collapsed="false" customWidth="true" hidden="false" outlineLevel="0" max="15" min="15" style="0" width="24"/>
    <col collapsed="false" customWidth="true" hidden="false" outlineLevel="0" max="16" min="16" style="0" width="17"/>
    <col collapsed="false" customWidth="true" hidden="false" outlineLevel="0" max="17" min="17" style="0" width="22"/>
    <col collapsed="false" customWidth="true" hidden="false" outlineLevel="0" max="18" min="18" style="0" width="28"/>
    <col collapsed="false" customWidth="true" hidden="false" outlineLevel="0" max="19" min="19" style="0" width="18"/>
    <col collapsed="false" customWidth="true" hidden="false" outlineLevel="0" max="20" min="20" style="0" width="2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/>
      <c r="C2" s="2" t="s">
        <v>21</v>
      </c>
      <c r="D2" s="2" t="s">
        <v>22</v>
      </c>
      <c r="E2" s="2" t="s">
        <v>23</v>
      </c>
      <c r="F2" s="2" t="n">
        <v>12.5167</v>
      </c>
      <c r="G2" s="2" t="n">
        <v>-70.0167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5" hidden="false" customHeight="false" outlineLevel="0" collapsed="false">
      <c r="A3" s="2" t="s">
        <v>24</v>
      </c>
      <c r="B3" s="2"/>
      <c r="C3" s="2" t="s">
        <v>25</v>
      </c>
      <c r="D3" s="2" t="s">
        <v>26</v>
      </c>
      <c r="E3" s="2" t="s">
        <v>27</v>
      </c>
      <c r="F3" s="2" t="n">
        <v>34.5228</v>
      </c>
      <c r="G3" s="2" t="n">
        <v>69.1761</v>
      </c>
      <c r="H3" s="2" t="s">
        <v>28</v>
      </c>
      <c r="I3" s="2" t="n">
        <v>2024</v>
      </c>
      <c r="J3" s="2" t="n">
        <v>-6.60118564073726</v>
      </c>
      <c r="K3" s="2" t="n">
        <v>38.2</v>
      </c>
      <c r="L3" s="2" t="n">
        <v>8.2</v>
      </c>
      <c r="M3" s="2" t="n">
        <v>36.8</v>
      </c>
      <c r="N3" s="2" t="n">
        <v>36.9</v>
      </c>
      <c r="O3" s="2" t="n">
        <v>48.5</v>
      </c>
      <c r="P3" s="2" t="n">
        <v>0.88</v>
      </c>
      <c r="Q3" s="2" t="n">
        <v>1.05</v>
      </c>
      <c r="R3" s="2" t="n">
        <v>12.8</v>
      </c>
      <c r="S3" s="2" t="n">
        <v>85</v>
      </c>
      <c r="T3" s="2" t="n">
        <v>20</v>
      </c>
    </row>
    <row r="4" customFormat="false" ht="15" hidden="false" customHeight="false" outlineLevel="0" collapsed="false">
      <c r="A4" s="2" t="s">
        <v>29</v>
      </c>
      <c r="B4" s="2"/>
      <c r="C4" s="2" t="s">
        <v>30</v>
      </c>
      <c r="D4" s="2" t="s">
        <v>31</v>
      </c>
      <c r="E4" s="2" t="s">
        <v>32</v>
      </c>
      <c r="F4" s="2" t="n">
        <v>-8.81155</v>
      </c>
      <c r="G4" s="2" t="n">
        <v>13.242</v>
      </c>
      <c r="H4" s="2" t="s">
        <v>33</v>
      </c>
      <c r="I4" s="2" t="n">
        <v>2024</v>
      </c>
      <c r="J4" s="2" t="n">
        <v>28.2404948915772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customFormat="false" ht="15" hidden="false" customHeight="false" outlineLevel="0" collapsed="false">
      <c r="A5" s="2" t="s">
        <v>34</v>
      </c>
      <c r="B5" s="2"/>
      <c r="C5" s="2" t="s">
        <v>35</v>
      </c>
      <c r="D5" s="2" t="s">
        <v>36</v>
      </c>
      <c r="E5" s="2" t="s">
        <v>37</v>
      </c>
      <c r="F5" s="2" t="n">
        <v>41.3317</v>
      </c>
      <c r="G5" s="2" t="n">
        <v>19.8172</v>
      </c>
      <c r="H5" s="2" t="s">
        <v>38</v>
      </c>
      <c r="I5" s="2" t="n">
        <v>2024</v>
      </c>
      <c r="J5" s="2" t="n">
        <v>2.21587375089992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customFormat="false" ht="15" hidden="false" customHeight="false" outlineLevel="0" collapsed="false">
      <c r="A6" s="2" t="s">
        <v>39</v>
      </c>
      <c r="B6" s="2"/>
      <c r="C6" s="2" t="s">
        <v>35</v>
      </c>
      <c r="D6" s="2" t="s">
        <v>22</v>
      </c>
      <c r="E6" s="2" t="s">
        <v>40</v>
      </c>
      <c r="F6" s="2" t="n">
        <v>42.5075</v>
      </c>
      <c r="G6" s="2" t="n">
        <v>1.5218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customFormat="false" ht="15" hidden="false" customHeight="false" outlineLevel="0" collapsed="false">
      <c r="A7" s="2" t="s">
        <v>41</v>
      </c>
      <c r="B7" s="2"/>
      <c r="C7" s="2" t="s">
        <v>25</v>
      </c>
      <c r="D7" s="2" t="s">
        <v>22</v>
      </c>
      <c r="E7" s="2" t="s">
        <v>42</v>
      </c>
      <c r="F7" s="2" t="n">
        <v>24.4764</v>
      </c>
      <c r="G7" s="2" t="n">
        <v>54.3705</v>
      </c>
      <c r="H7" s="2" t="s">
        <v>43</v>
      </c>
      <c r="I7" s="2" t="n">
        <v>2024</v>
      </c>
      <c r="J7" s="2" t="n">
        <v>1.66336510224894</v>
      </c>
      <c r="K7" s="2" t="n">
        <v>72.4</v>
      </c>
      <c r="L7" s="2" t="n">
        <v>34.2</v>
      </c>
      <c r="M7" s="2" t="n">
        <v>68.5</v>
      </c>
      <c r="N7" s="2" t="n">
        <v>70.8</v>
      </c>
      <c r="O7" s="2" t="n">
        <v>96.2</v>
      </c>
      <c r="P7" s="2"/>
      <c r="Q7" s="2"/>
      <c r="R7" s="2"/>
      <c r="S7" s="2" t="n">
        <v>1100</v>
      </c>
      <c r="T7" s="2"/>
    </row>
    <row r="8" customFormat="false" ht="15" hidden="false" customHeight="false" outlineLevel="0" collapsed="false">
      <c r="A8" s="2" t="s">
        <v>44</v>
      </c>
      <c r="B8" s="2"/>
      <c r="C8" s="2" t="s">
        <v>21</v>
      </c>
      <c r="D8" s="2" t="s">
        <v>36</v>
      </c>
      <c r="E8" s="2" t="s">
        <v>45</v>
      </c>
      <c r="F8" s="2" t="n">
        <v>-34.6118</v>
      </c>
      <c r="G8" s="2" t="n">
        <v>-58.4173</v>
      </c>
      <c r="H8" s="2" t="s">
        <v>46</v>
      </c>
      <c r="I8" s="2" t="n">
        <v>2024</v>
      </c>
      <c r="J8" s="2" t="n">
        <v>219.883929014578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customFormat="false" ht="15" hidden="false" customHeight="false" outlineLevel="0" collapsed="false">
      <c r="A9" s="2" t="s">
        <v>47</v>
      </c>
      <c r="B9" s="2"/>
      <c r="C9" s="2" t="s">
        <v>35</v>
      </c>
      <c r="D9" s="2" t="s">
        <v>36</v>
      </c>
      <c r="E9" s="2" t="s">
        <v>48</v>
      </c>
      <c r="F9" s="2" t="n">
        <v>40.1596</v>
      </c>
      <c r="G9" s="2" t="n">
        <v>44.509</v>
      </c>
      <c r="H9" s="2" t="s">
        <v>49</v>
      </c>
      <c r="I9" s="2" t="n">
        <v>2024</v>
      </c>
      <c r="J9" s="2" t="n">
        <v>0.269511978259125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customFormat="false" ht="15" hidden="false" customHeight="false" outlineLevel="0" collapsed="false">
      <c r="A10" s="2" t="s">
        <v>50</v>
      </c>
      <c r="B10" s="2"/>
      <c r="C10" s="2" t="s">
        <v>51</v>
      </c>
      <c r="D10" s="2" t="s">
        <v>22</v>
      </c>
      <c r="E10" s="2" t="s">
        <v>52</v>
      </c>
      <c r="F10" s="2" t="n">
        <v>-14.2846</v>
      </c>
      <c r="G10" s="2" t="n">
        <v>-170.691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customFormat="false" ht="15" hidden="false" customHeight="false" outlineLevel="0" collapsed="false">
      <c r="A11" s="2" t="s">
        <v>53</v>
      </c>
      <c r="B11" s="2"/>
      <c r="C11" s="2" t="s">
        <v>21</v>
      </c>
      <c r="D11" s="2" t="s">
        <v>22</v>
      </c>
      <c r="E11" s="2" t="s">
        <v>54</v>
      </c>
      <c r="F11" s="2" t="n">
        <v>17.1175</v>
      </c>
      <c r="G11" s="2" t="n">
        <v>-61.8456</v>
      </c>
      <c r="H11" s="2" t="s">
        <v>55</v>
      </c>
      <c r="I11" s="2" t="n">
        <v>2024</v>
      </c>
      <c r="J11" s="2" t="n">
        <v>6.19886698842116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customFormat="false" ht="15" hidden="false" customHeight="false" outlineLevel="0" collapsed="false">
      <c r="A12" s="2" t="s">
        <v>56</v>
      </c>
      <c r="B12" s="2"/>
      <c r="C12" s="2" t="s">
        <v>51</v>
      </c>
      <c r="D12" s="2" t="s">
        <v>22</v>
      </c>
      <c r="E12" s="2" t="s">
        <v>57</v>
      </c>
      <c r="F12" s="2" t="n">
        <v>-35.282</v>
      </c>
      <c r="G12" s="2" t="n">
        <v>149.129</v>
      </c>
      <c r="H12" s="2" t="s">
        <v>58</v>
      </c>
      <c r="I12" s="2" t="n">
        <v>2024</v>
      </c>
      <c r="J12" s="2" t="n">
        <v>3.16656665428797</v>
      </c>
      <c r="K12" s="2" t="n">
        <v>69.5</v>
      </c>
      <c r="L12" s="2" t="n">
        <v>32.8</v>
      </c>
      <c r="M12" s="2" t="n">
        <v>65.4</v>
      </c>
      <c r="N12" s="2" t="n">
        <v>68.9</v>
      </c>
      <c r="O12" s="2" t="n">
        <v>95.6</v>
      </c>
      <c r="P12" s="2" t="n">
        <v>3.25</v>
      </c>
      <c r="Q12" s="2"/>
      <c r="R12" s="2"/>
      <c r="S12" s="2" t="n">
        <v>1450</v>
      </c>
      <c r="T12" s="2" t="n">
        <v>140</v>
      </c>
    </row>
    <row r="13" customFormat="false" ht="15" hidden="false" customHeight="false" outlineLevel="0" collapsed="false">
      <c r="A13" s="2" t="s">
        <v>59</v>
      </c>
      <c r="B13" s="2"/>
      <c r="C13" s="2" t="s">
        <v>35</v>
      </c>
      <c r="D13" s="2" t="s">
        <v>22</v>
      </c>
      <c r="E13" s="2" t="s">
        <v>60</v>
      </c>
      <c r="F13" s="2" t="n">
        <v>48.2201</v>
      </c>
      <c r="G13" s="2" t="n">
        <v>16.3798</v>
      </c>
      <c r="H13" s="2" t="s">
        <v>61</v>
      </c>
      <c r="I13" s="2" t="n">
        <v>2024</v>
      </c>
      <c r="J13" s="2" t="n">
        <v>2.93791574279376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customFormat="false" ht="15" hidden="false" customHeight="false" outlineLevel="0" collapsed="false">
      <c r="A14" s="2" t="s">
        <v>62</v>
      </c>
      <c r="B14" s="2"/>
      <c r="C14" s="2" t="s">
        <v>35</v>
      </c>
      <c r="D14" s="2" t="s">
        <v>36</v>
      </c>
      <c r="E14" s="2" t="s">
        <v>63</v>
      </c>
      <c r="F14" s="2" t="n">
        <v>40.3834</v>
      </c>
      <c r="G14" s="2" t="n">
        <v>49.8932</v>
      </c>
      <c r="H14" s="2" t="s">
        <v>64</v>
      </c>
      <c r="I14" s="2" t="n">
        <v>2024</v>
      </c>
      <c r="J14" s="2" t="n">
        <v>2.21217188919901</v>
      </c>
      <c r="K14" s="2"/>
      <c r="L14" s="2"/>
      <c r="M14" s="2"/>
      <c r="N14" s="2"/>
      <c r="O14" s="2"/>
      <c r="P14" s="2" t="n">
        <v>0.46</v>
      </c>
      <c r="Q14" s="2"/>
      <c r="R14" s="2"/>
      <c r="S14" s="2"/>
      <c r="T14" s="2"/>
    </row>
    <row r="15" customFormat="false" ht="15" hidden="false" customHeight="false" outlineLevel="0" collapsed="false">
      <c r="A15" s="2" t="s">
        <v>65</v>
      </c>
      <c r="B15" s="2"/>
      <c r="C15" s="2" t="s">
        <v>30</v>
      </c>
      <c r="D15" s="2" t="s">
        <v>26</v>
      </c>
      <c r="E15" s="2" t="s">
        <v>66</v>
      </c>
      <c r="F15" s="2" t="n">
        <v>-3.3784</v>
      </c>
      <c r="G15" s="2" t="n">
        <v>29.3639</v>
      </c>
      <c r="H15" s="2" t="s">
        <v>67</v>
      </c>
      <c r="I15" s="2" t="n">
        <v>2024</v>
      </c>
      <c r="J15" s="2" t="n">
        <v>20.2124925027847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customFormat="false" ht="15" hidden="false" customHeight="false" outlineLevel="0" collapsed="false">
      <c r="A16" s="2" t="s">
        <v>68</v>
      </c>
      <c r="B16" s="2"/>
      <c r="C16" s="2" t="s">
        <v>35</v>
      </c>
      <c r="D16" s="2" t="s">
        <v>22</v>
      </c>
      <c r="E16" s="2" t="s">
        <v>69</v>
      </c>
      <c r="F16" s="2" t="n">
        <v>50.8371</v>
      </c>
      <c r="G16" s="2" t="n">
        <v>4.36761</v>
      </c>
      <c r="H16" s="2" t="s">
        <v>70</v>
      </c>
      <c r="I16" s="2" t="n">
        <v>2024</v>
      </c>
      <c r="J16" s="2" t="n">
        <v>3.14349136500041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customFormat="false" ht="15" hidden="false" customHeight="false" outlineLevel="0" collapsed="false">
      <c r="A17" s="2" t="s">
        <v>71</v>
      </c>
      <c r="B17" s="2"/>
      <c r="C17" s="2" t="s">
        <v>30</v>
      </c>
      <c r="D17" s="2" t="s">
        <v>31</v>
      </c>
      <c r="E17" s="2" t="s">
        <v>72</v>
      </c>
      <c r="F17" s="2" t="n">
        <v>6.4779</v>
      </c>
      <c r="G17" s="2" t="n">
        <v>2.6323</v>
      </c>
      <c r="H17" s="2" t="s">
        <v>73</v>
      </c>
      <c r="I17" s="2" t="n">
        <v>2024</v>
      </c>
      <c r="J17" s="2" t="n">
        <v>1.16093089640415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customFormat="false" ht="15" hidden="false" customHeight="false" outlineLevel="0" collapsed="false">
      <c r="A18" s="2" t="s">
        <v>74</v>
      </c>
      <c r="B18" s="2"/>
      <c r="C18" s="2" t="s">
        <v>30</v>
      </c>
      <c r="D18" s="2" t="s">
        <v>26</v>
      </c>
      <c r="E18" s="2" t="s">
        <v>75</v>
      </c>
      <c r="F18" s="2" t="n">
        <v>12.3605</v>
      </c>
      <c r="G18" s="2" t="n">
        <v>-1.53395</v>
      </c>
      <c r="H18" s="2" t="s">
        <v>76</v>
      </c>
      <c r="I18" s="2" t="n">
        <v>2024</v>
      </c>
      <c r="J18" s="2" t="n">
        <v>4.19081721344523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customFormat="false" ht="15" hidden="false" customHeight="false" outlineLevel="0" collapsed="false">
      <c r="A19" s="2" t="s">
        <v>77</v>
      </c>
      <c r="B19" s="2"/>
      <c r="C19" s="2" t="s">
        <v>78</v>
      </c>
      <c r="D19" s="2" t="s">
        <v>31</v>
      </c>
      <c r="E19" s="2" t="s">
        <v>79</v>
      </c>
      <c r="F19" s="2" t="n">
        <v>23.7055</v>
      </c>
      <c r="G19" s="2" t="n">
        <v>90.4113</v>
      </c>
      <c r="H19" s="2" t="s">
        <v>80</v>
      </c>
      <c r="I19" s="2" t="n">
        <v>2024</v>
      </c>
      <c r="J19" s="2" t="n">
        <v>10.4657482763412</v>
      </c>
      <c r="K19" s="2" t="n">
        <v>39.5</v>
      </c>
      <c r="L19" s="2" t="n">
        <v>8.8</v>
      </c>
      <c r="M19" s="2" t="n">
        <v>38.1</v>
      </c>
      <c r="N19" s="2" t="n">
        <v>38.2</v>
      </c>
      <c r="O19" s="2" t="n">
        <v>50.8</v>
      </c>
      <c r="P19" s="2" t="n">
        <v>0.95</v>
      </c>
      <c r="Q19" s="2" t="n">
        <v>1.18</v>
      </c>
      <c r="R19" s="2" t="n">
        <v>14.5</v>
      </c>
      <c r="S19" s="2" t="n">
        <v>100</v>
      </c>
      <c r="T19" s="2" t="n">
        <v>25</v>
      </c>
    </row>
    <row r="20" customFormat="false" ht="15" hidden="false" customHeight="false" outlineLevel="0" collapsed="false">
      <c r="A20" s="2" t="s">
        <v>81</v>
      </c>
      <c r="B20" s="2"/>
      <c r="C20" s="2" t="s">
        <v>35</v>
      </c>
      <c r="D20" s="2" t="s">
        <v>22</v>
      </c>
      <c r="E20" s="2" t="s">
        <v>82</v>
      </c>
      <c r="F20" s="2" t="n">
        <v>42.7105</v>
      </c>
      <c r="G20" s="2" t="n">
        <v>23.3238</v>
      </c>
      <c r="H20" s="2" t="s">
        <v>83</v>
      </c>
      <c r="I20" s="2" t="n">
        <v>2024</v>
      </c>
      <c r="J20" s="2" t="n">
        <v>2.44651943006079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customFormat="false" ht="15" hidden="false" customHeight="false" outlineLevel="0" collapsed="false">
      <c r="A21" s="2" t="s">
        <v>84</v>
      </c>
      <c r="B21" s="2"/>
      <c r="C21" s="2" t="s">
        <v>25</v>
      </c>
      <c r="D21" s="2" t="s">
        <v>22</v>
      </c>
      <c r="E21" s="2" t="s">
        <v>85</v>
      </c>
      <c r="F21" s="2" t="n">
        <v>26.1921</v>
      </c>
      <c r="G21" s="2" t="n">
        <v>50.5354</v>
      </c>
      <c r="H21" s="2" t="s">
        <v>86</v>
      </c>
      <c r="I21" s="2" t="n">
        <v>2024</v>
      </c>
      <c r="J21" s="2" t="n">
        <v>0.919635459817651</v>
      </c>
      <c r="K21" s="2" t="n">
        <v>65.2</v>
      </c>
      <c r="L21" s="2" t="n">
        <v>26.1</v>
      </c>
      <c r="M21" s="2" t="n">
        <v>61.8</v>
      </c>
      <c r="N21" s="2" t="n">
        <v>63.5</v>
      </c>
      <c r="O21" s="2" t="n">
        <v>86.2</v>
      </c>
      <c r="P21" s="2"/>
      <c r="Q21" s="2"/>
      <c r="R21" s="2"/>
      <c r="S21" s="2" t="n">
        <v>600</v>
      </c>
      <c r="T21" s="2"/>
    </row>
    <row r="22" customFormat="false" ht="15" hidden="false" customHeight="false" outlineLevel="0" collapsed="false">
      <c r="A22" s="2" t="s">
        <v>87</v>
      </c>
      <c r="B22" s="2"/>
      <c r="C22" s="2" t="s">
        <v>21</v>
      </c>
      <c r="D22" s="2" t="s">
        <v>22</v>
      </c>
      <c r="E22" s="2" t="s">
        <v>88</v>
      </c>
      <c r="F22" s="2" t="n">
        <v>25.0661</v>
      </c>
      <c r="G22" s="2" t="n">
        <v>-77.339</v>
      </c>
      <c r="H22" s="2" t="s">
        <v>89</v>
      </c>
      <c r="I22" s="2" t="n">
        <v>2024</v>
      </c>
      <c r="J22" s="2" t="n">
        <v>0.409162489083286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customFormat="false" ht="15" hidden="false" customHeight="false" outlineLevel="0" collapsed="false">
      <c r="A23" s="2" t="s">
        <v>90</v>
      </c>
      <c r="B23" s="2"/>
      <c r="C23" s="2" t="s">
        <v>35</v>
      </c>
      <c r="D23" s="2" t="s">
        <v>36</v>
      </c>
      <c r="E23" s="2" t="s">
        <v>91</v>
      </c>
      <c r="F23" s="2" t="n">
        <v>43.8607</v>
      </c>
      <c r="G23" s="2" t="n">
        <v>18.4214</v>
      </c>
      <c r="H23" s="2" t="s">
        <v>92</v>
      </c>
      <c r="I23" s="2" t="n">
        <v>2023</v>
      </c>
      <c r="J23" s="2" t="n">
        <v>6.1059011284828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customFormat="false" ht="15" hidden="false" customHeight="false" outlineLevel="0" collapsed="false">
      <c r="A24" s="2" t="s">
        <v>93</v>
      </c>
      <c r="B24" s="2"/>
      <c r="C24" s="2" t="s">
        <v>35</v>
      </c>
      <c r="D24" s="2" t="s">
        <v>36</v>
      </c>
      <c r="E24" s="2" t="s">
        <v>94</v>
      </c>
      <c r="F24" s="2" t="n">
        <v>53.9678</v>
      </c>
      <c r="G24" s="2" t="n">
        <v>27.5766</v>
      </c>
      <c r="H24" s="2" t="s">
        <v>95</v>
      </c>
      <c r="I24" s="2" t="n">
        <v>2024</v>
      </c>
      <c r="J24" s="2" t="n">
        <v>5.78531910428005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customFormat="false" ht="15" hidden="false" customHeight="false" outlineLevel="0" collapsed="false">
      <c r="A25" s="2" t="s">
        <v>96</v>
      </c>
      <c r="B25" s="2"/>
      <c r="C25" s="2" t="s">
        <v>21</v>
      </c>
      <c r="D25" s="2" t="s">
        <v>36</v>
      </c>
      <c r="E25" s="2" t="s">
        <v>97</v>
      </c>
      <c r="F25" s="2" t="n">
        <v>17.2534</v>
      </c>
      <c r="G25" s="2" t="n">
        <v>-88.7713</v>
      </c>
      <c r="H25" s="2" t="s">
        <v>98</v>
      </c>
      <c r="I25" s="2" t="n">
        <v>2024</v>
      </c>
      <c r="J25" s="2" t="n">
        <v>3.28955985952768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customFormat="false" ht="15" hidden="false" customHeight="false" outlineLevel="0" collapsed="false">
      <c r="A26" s="2" t="s">
        <v>99</v>
      </c>
      <c r="B26" s="2"/>
      <c r="C26" s="2" t="s">
        <v>100</v>
      </c>
      <c r="D26" s="2" t="s">
        <v>22</v>
      </c>
      <c r="E26" s="2" t="s">
        <v>101</v>
      </c>
      <c r="F26" s="2" t="n">
        <v>32.3293</v>
      </c>
      <c r="G26" s="2" t="n">
        <v>-64.706</v>
      </c>
      <c r="H26" s="2"/>
      <c r="I26" s="2"/>
      <c r="J26" s="2"/>
      <c r="K26" s="2"/>
      <c r="L26" s="2"/>
      <c r="M26" s="2"/>
      <c r="N26" s="2"/>
      <c r="O26" s="2"/>
      <c r="P26" s="2" t="n">
        <v>8.61</v>
      </c>
      <c r="Q26" s="2"/>
      <c r="R26" s="2"/>
      <c r="S26" s="2"/>
      <c r="T26" s="2"/>
    </row>
    <row r="27" customFormat="false" ht="15" hidden="false" customHeight="false" outlineLevel="0" collapsed="false">
      <c r="A27" s="2" t="s">
        <v>102</v>
      </c>
      <c r="B27" s="2"/>
      <c r="C27" s="2" t="s">
        <v>21</v>
      </c>
      <c r="D27" s="2" t="s">
        <v>31</v>
      </c>
      <c r="E27" s="2" t="s">
        <v>103</v>
      </c>
      <c r="F27" s="2" t="n">
        <v>-13.9908</v>
      </c>
      <c r="G27" s="2" t="n">
        <v>-66.1936</v>
      </c>
      <c r="H27" s="2" t="s">
        <v>104</v>
      </c>
      <c r="I27" s="2" t="n">
        <v>2024</v>
      </c>
      <c r="J27" s="2" t="n">
        <v>5.09976568317427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customFormat="false" ht="15" hidden="false" customHeight="false" outlineLevel="0" collapsed="false">
      <c r="A28" s="2" t="s">
        <v>105</v>
      </c>
      <c r="B28" s="2"/>
      <c r="C28" s="2" t="s">
        <v>21</v>
      </c>
      <c r="D28" s="2" t="s">
        <v>36</v>
      </c>
      <c r="E28" s="2" t="s">
        <v>106</v>
      </c>
      <c r="F28" s="2" t="n">
        <v>-15.7801</v>
      </c>
      <c r="G28" s="2" t="n">
        <v>-47.9292</v>
      </c>
      <c r="H28" s="2" t="s">
        <v>107</v>
      </c>
      <c r="I28" s="2" t="n">
        <v>2024</v>
      </c>
      <c r="J28" s="2" t="n">
        <v>4.36746407652337</v>
      </c>
      <c r="K28" s="2" t="n">
        <v>51.4</v>
      </c>
      <c r="L28" s="2" t="n">
        <v>15.9</v>
      </c>
      <c r="M28" s="2" t="n">
        <v>49.2</v>
      </c>
      <c r="N28" s="2" t="n">
        <v>50.1</v>
      </c>
      <c r="O28" s="2" t="n">
        <v>67.5</v>
      </c>
      <c r="P28" s="2" t="n">
        <v>1.85</v>
      </c>
      <c r="Q28" s="2" t="n">
        <v>2.85</v>
      </c>
      <c r="R28" s="2" t="n">
        <v>52.4</v>
      </c>
      <c r="S28" s="2" t="n">
        <v>270</v>
      </c>
      <c r="T28" s="2" t="n">
        <v>70</v>
      </c>
    </row>
    <row r="29" customFormat="false" ht="15" hidden="false" customHeight="false" outlineLevel="0" collapsed="false">
      <c r="A29" s="2" t="s">
        <v>108</v>
      </c>
      <c r="B29" s="2"/>
      <c r="C29" s="2" t="s">
        <v>21</v>
      </c>
      <c r="D29" s="2" t="s">
        <v>22</v>
      </c>
      <c r="E29" s="2" t="s">
        <v>109</v>
      </c>
      <c r="F29" s="2" t="n">
        <v>13.0935</v>
      </c>
      <c r="G29" s="2" t="n">
        <v>-59.6105</v>
      </c>
      <c r="H29" s="2" t="s">
        <v>110</v>
      </c>
      <c r="I29" s="2" t="n">
        <v>2024</v>
      </c>
      <c r="J29" s="2" t="n">
        <v>1.4464366430616</v>
      </c>
      <c r="K29" s="2" t="n">
        <v>75.2</v>
      </c>
      <c r="L29" s="2" t="n">
        <v>41.8</v>
      </c>
      <c r="M29" s="2" t="n">
        <v>70.8</v>
      </c>
      <c r="N29" s="2" t="n">
        <v>73.2</v>
      </c>
      <c r="O29" s="2" t="n">
        <v>88.5</v>
      </c>
      <c r="P29" s="2"/>
      <c r="Q29" s="2"/>
      <c r="R29" s="2"/>
      <c r="S29" s="2" t="n">
        <v>1200</v>
      </c>
      <c r="T29" s="2"/>
    </row>
    <row r="30" customFormat="false" ht="15" hidden="false" customHeight="false" outlineLevel="0" collapsed="false">
      <c r="A30" s="2" t="s">
        <v>111</v>
      </c>
      <c r="B30" s="2"/>
      <c r="C30" s="2" t="s">
        <v>51</v>
      </c>
      <c r="D30" s="2" t="s">
        <v>22</v>
      </c>
      <c r="E30" s="2" t="s">
        <v>112</v>
      </c>
      <c r="F30" s="2" t="n">
        <v>4.94199</v>
      </c>
      <c r="G30" s="2" t="n">
        <v>114.946</v>
      </c>
      <c r="H30" s="2" t="s">
        <v>113</v>
      </c>
      <c r="I30" s="2" t="n">
        <v>2024</v>
      </c>
      <c r="J30" s="2" t="n">
        <v>-0.388674165036461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customFormat="false" ht="15" hidden="false" customHeight="false" outlineLevel="0" collapsed="false">
      <c r="A31" s="2" t="s">
        <v>114</v>
      </c>
      <c r="B31" s="2"/>
      <c r="C31" s="2" t="s">
        <v>78</v>
      </c>
      <c r="D31" s="2" t="s">
        <v>31</v>
      </c>
      <c r="E31" s="2" t="s">
        <v>115</v>
      </c>
      <c r="F31" s="2" t="n">
        <v>27.5768</v>
      </c>
      <c r="G31" s="2" t="n">
        <v>89.6177</v>
      </c>
      <c r="H31" s="2" t="s">
        <v>116</v>
      </c>
      <c r="I31" s="2" t="n">
        <v>2024</v>
      </c>
      <c r="J31" s="2" t="n">
        <v>2.76131569624098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customFormat="false" ht="15" hidden="false" customHeight="false" outlineLevel="0" collapsed="false">
      <c r="A32" s="2" t="s">
        <v>117</v>
      </c>
      <c r="B32" s="2"/>
      <c r="C32" s="2" t="s">
        <v>30</v>
      </c>
      <c r="D32" s="2" t="s">
        <v>36</v>
      </c>
      <c r="E32" s="2" t="s">
        <v>118</v>
      </c>
      <c r="F32" s="2" t="n">
        <v>-24.6544</v>
      </c>
      <c r="G32" s="2" t="n">
        <v>25.9201</v>
      </c>
      <c r="H32" s="2" t="s">
        <v>119</v>
      </c>
      <c r="I32" s="2" t="n">
        <v>2024</v>
      </c>
      <c r="J32" s="2" t="n">
        <v>2.81835131676251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customFormat="false" ht="15" hidden="false" customHeight="false" outlineLevel="0" collapsed="false">
      <c r="A33" s="2" t="s">
        <v>120</v>
      </c>
      <c r="B33" s="2"/>
      <c r="C33" s="2" t="s">
        <v>30</v>
      </c>
      <c r="D33" s="2" t="s">
        <v>26</v>
      </c>
      <c r="E33" s="2" t="s">
        <v>121</v>
      </c>
      <c r="F33" s="2" t="n">
        <v>5.63056</v>
      </c>
      <c r="G33" s="2" t="n">
        <v>21.6407</v>
      </c>
      <c r="H33" s="2" t="s">
        <v>122</v>
      </c>
      <c r="I33" s="2" t="n">
        <v>2024</v>
      </c>
      <c r="J33" s="2" t="n">
        <v>1.47733600718744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customFormat="false" ht="15" hidden="false" customHeight="false" outlineLevel="0" collapsed="false">
      <c r="A34" s="2" t="s">
        <v>123</v>
      </c>
      <c r="B34" s="2"/>
      <c r="C34" s="2" t="s">
        <v>100</v>
      </c>
      <c r="D34" s="2" t="s">
        <v>22</v>
      </c>
      <c r="E34" s="2" t="s">
        <v>124</v>
      </c>
      <c r="F34" s="2" t="n">
        <v>45.4215</v>
      </c>
      <c r="G34" s="2" t="n">
        <v>-75.6919</v>
      </c>
      <c r="H34" s="2" t="s">
        <v>125</v>
      </c>
      <c r="I34" s="2" t="n">
        <v>2024</v>
      </c>
      <c r="J34" s="2" t="n">
        <v>2.38158383281173</v>
      </c>
      <c r="K34" s="2" t="n">
        <v>65.4</v>
      </c>
      <c r="L34" s="2" t="n">
        <v>28.4</v>
      </c>
      <c r="M34" s="2" t="n">
        <v>61.5</v>
      </c>
      <c r="N34" s="2" t="n">
        <v>64.2</v>
      </c>
      <c r="O34" s="2" t="n">
        <v>92.1</v>
      </c>
      <c r="P34" s="2" t="n">
        <v>3.18</v>
      </c>
      <c r="Q34" s="2"/>
      <c r="R34" s="2"/>
      <c r="S34" s="2" t="n">
        <v>1200</v>
      </c>
      <c r="T34" s="2" t="n">
        <v>145</v>
      </c>
    </row>
    <row r="35" customFormat="false" ht="15" hidden="false" customHeight="false" outlineLevel="0" collapsed="false">
      <c r="A35" s="2" t="s">
        <v>126</v>
      </c>
      <c r="B35" s="2"/>
      <c r="C35" s="2" t="s">
        <v>35</v>
      </c>
      <c r="D35" s="2" t="s">
        <v>22</v>
      </c>
      <c r="E35" s="2" t="s">
        <v>127</v>
      </c>
      <c r="F35" s="2" t="n">
        <v>46.948</v>
      </c>
      <c r="G35" s="2" t="n">
        <v>7.44821</v>
      </c>
      <c r="H35" s="2" t="s">
        <v>128</v>
      </c>
      <c r="I35" s="2" t="n">
        <v>2024</v>
      </c>
      <c r="J35" s="2" t="n">
        <v>1.06234041976595</v>
      </c>
      <c r="K35" s="2" t="n">
        <v>82.3</v>
      </c>
      <c r="L35" s="2" t="n">
        <v>50.1</v>
      </c>
      <c r="M35" s="2" t="n">
        <v>75.2</v>
      </c>
      <c r="N35" s="2" t="n">
        <v>88.4</v>
      </c>
      <c r="O35" s="2" t="n">
        <v>120.5</v>
      </c>
      <c r="P35" s="2" t="n">
        <v>3.81</v>
      </c>
      <c r="Q35" s="2" t="n">
        <v>6.36</v>
      </c>
      <c r="R35" s="2" t="n">
        <v>149.7</v>
      </c>
      <c r="S35" s="2" t="n">
        <v>1850</v>
      </c>
      <c r="T35" s="2" t="n">
        <v>220</v>
      </c>
    </row>
    <row r="36" customFormat="false" ht="15" hidden="false" customHeight="false" outlineLevel="0" collapsed="false">
      <c r="A36" s="2" t="s">
        <v>129</v>
      </c>
      <c r="B36" s="2"/>
      <c r="C36" s="2" t="s">
        <v>35</v>
      </c>
      <c r="D36" s="2" t="s">
        <v>22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customFormat="false" ht="15" hidden="false" customHeight="false" outlineLevel="0" collapsed="false">
      <c r="A37" s="2" t="s">
        <v>130</v>
      </c>
      <c r="B37" s="2"/>
      <c r="C37" s="2" t="s">
        <v>21</v>
      </c>
      <c r="D37" s="2" t="s">
        <v>22</v>
      </c>
      <c r="E37" s="2" t="s">
        <v>131</v>
      </c>
      <c r="F37" s="2" t="n">
        <v>-33.475</v>
      </c>
      <c r="G37" s="2" t="n">
        <v>-70.6475</v>
      </c>
      <c r="H37" s="2" t="s">
        <v>132</v>
      </c>
      <c r="I37" s="2" t="n">
        <v>2024</v>
      </c>
      <c r="J37" s="2" t="n">
        <v>4.29763891572524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customFormat="false" ht="15" hidden="false" customHeight="false" outlineLevel="0" collapsed="false">
      <c r="A38" s="2" t="s">
        <v>133</v>
      </c>
      <c r="B38" s="2"/>
      <c r="C38" s="2" t="s">
        <v>51</v>
      </c>
      <c r="D38" s="2" t="s">
        <v>36</v>
      </c>
      <c r="E38" s="2" t="s">
        <v>134</v>
      </c>
      <c r="F38" s="2" t="n">
        <v>40.0495</v>
      </c>
      <c r="G38" s="2" t="n">
        <v>116.286</v>
      </c>
      <c r="H38" s="2" t="s">
        <v>135</v>
      </c>
      <c r="I38" s="2" t="n">
        <v>2024</v>
      </c>
      <c r="J38" s="2" t="n">
        <v>0.218128938439177</v>
      </c>
      <c r="K38" s="2" t="n">
        <v>49.8</v>
      </c>
      <c r="L38" s="2" t="n">
        <v>14.8</v>
      </c>
      <c r="M38" s="2" t="n">
        <v>47.8</v>
      </c>
      <c r="N38" s="2" t="n">
        <v>48.5</v>
      </c>
      <c r="O38" s="2" t="n">
        <v>64.2</v>
      </c>
      <c r="P38" s="2" t="n">
        <v>1.65</v>
      </c>
      <c r="Q38" s="2" t="n">
        <v>2.45</v>
      </c>
      <c r="R38" s="2" t="n">
        <v>42.8</v>
      </c>
      <c r="S38" s="2" t="n">
        <v>540</v>
      </c>
      <c r="T38" s="2" t="n">
        <v>80</v>
      </c>
    </row>
    <row r="39" customFormat="false" ht="15" hidden="false" customHeight="false" outlineLevel="0" collapsed="false">
      <c r="A39" s="2" t="s">
        <v>136</v>
      </c>
      <c r="B39" s="2"/>
      <c r="C39" s="2" t="s">
        <v>30</v>
      </c>
      <c r="D39" s="2" t="s">
        <v>31</v>
      </c>
      <c r="E39" s="2" t="s">
        <v>137</v>
      </c>
      <c r="F39" s="2" t="n">
        <v>5.332</v>
      </c>
      <c r="G39" s="2" t="n">
        <v>-4.0305</v>
      </c>
      <c r="H39" s="2" t="s">
        <v>138</v>
      </c>
      <c r="I39" s="2" t="n">
        <v>2024</v>
      </c>
      <c r="J39" s="2" t="n">
        <v>3.45053028131019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customFormat="false" ht="15" hidden="false" customHeight="false" outlineLevel="0" collapsed="false">
      <c r="A40" s="2" t="s">
        <v>139</v>
      </c>
      <c r="B40" s="2"/>
      <c r="C40" s="2" t="s">
        <v>30</v>
      </c>
      <c r="D40" s="2" t="s">
        <v>31</v>
      </c>
      <c r="E40" s="2" t="s">
        <v>140</v>
      </c>
      <c r="F40" s="2" t="n">
        <v>3.8721</v>
      </c>
      <c r="G40" s="2" t="n">
        <v>11.5174</v>
      </c>
      <c r="H40" s="2" t="s">
        <v>141</v>
      </c>
      <c r="I40" s="2" t="n">
        <v>2024</v>
      </c>
      <c r="J40" s="2" t="n">
        <v>4.53331349711606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customFormat="false" ht="15" hidden="false" customHeight="false" outlineLevel="0" collapsed="false">
      <c r="A41" s="2" t="s">
        <v>142</v>
      </c>
      <c r="B41" s="2"/>
      <c r="C41" s="2" t="s">
        <v>30</v>
      </c>
      <c r="D41" s="2" t="s">
        <v>26</v>
      </c>
      <c r="E41" s="2" t="s">
        <v>143</v>
      </c>
      <c r="F41" s="2" t="n">
        <v>-4.325</v>
      </c>
      <c r="G41" s="2" t="n">
        <v>15.3222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customFormat="false" ht="15" hidden="false" customHeight="false" outlineLevel="0" collapsed="false">
      <c r="A42" s="2" t="s">
        <v>144</v>
      </c>
      <c r="B42" s="2"/>
      <c r="C42" s="2" t="s">
        <v>30</v>
      </c>
      <c r="D42" s="2" t="s">
        <v>31</v>
      </c>
      <c r="E42" s="2" t="s">
        <v>145</v>
      </c>
      <c r="F42" s="2" t="n">
        <v>-4.2767</v>
      </c>
      <c r="G42" s="2" t="n">
        <v>15.2662</v>
      </c>
      <c r="H42" s="2" t="s">
        <v>146</v>
      </c>
      <c r="I42" s="2" t="n">
        <v>2024</v>
      </c>
      <c r="J42" s="2" t="n">
        <v>3.09143630919166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customFormat="false" ht="15" hidden="false" customHeight="false" outlineLevel="0" collapsed="false">
      <c r="A43" s="2" t="s">
        <v>147</v>
      </c>
      <c r="B43" s="2"/>
      <c r="C43" s="2" t="s">
        <v>21</v>
      </c>
      <c r="D43" s="2" t="s">
        <v>36</v>
      </c>
      <c r="E43" s="2" t="s">
        <v>148</v>
      </c>
      <c r="F43" s="2" t="n">
        <v>4.60987</v>
      </c>
      <c r="G43" s="2" t="n">
        <v>-74.082</v>
      </c>
      <c r="H43" s="2" t="s">
        <v>149</v>
      </c>
      <c r="I43" s="2" t="n">
        <v>2024</v>
      </c>
      <c r="J43" s="2" t="n">
        <v>6.60908593728228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customFormat="false" ht="15" hidden="false" customHeight="false" outlineLevel="0" collapsed="false">
      <c r="A44" s="2" t="s">
        <v>150</v>
      </c>
      <c r="B44" s="2"/>
      <c r="C44" s="2" t="s">
        <v>30</v>
      </c>
      <c r="D44" s="2" t="s">
        <v>31</v>
      </c>
      <c r="E44" s="2" t="s">
        <v>151</v>
      </c>
      <c r="F44" s="2" t="n">
        <v>-11.6986</v>
      </c>
      <c r="G44" s="2" t="n">
        <v>43.2418</v>
      </c>
      <c r="H44" s="2" t="s">
        <v>152</v>
      </c>
      <c r="I44" s="2" t="n">
        <v>2024</v>
      </c>
      <c r="J44" s="2" t="n">
        <v>5.05192609588218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customFormat="false" ht="15" hidden="false" customHeight="false" outlineLevel="0" collapsed="false">
      <c r="A45" s="2" t="s">
        <v>153</v>
      </c>
      <c r="B45" s="2"/>
      <c r="C45" s="2" t="s">
        <v>30</v>
      </c>
      <c r="D45" s="2" t="s">
        <v>36</v>
      </c>
      <c r="E45" s="2" t="s">
        <v>154</v>
      </c>
      <c r="F45" s="2" t="n">
        <v>14.9218</v>
      </c>
      <c r="G45" s="2" t="n">
        <v>-23.5087</v>
      </c>
      <c r="H45" s="2" t="s">
        <v>155</v>
      </c>
      <c r="I45" s="2" t="n">
        <v>2024</v>
      </c>
      <c r="J45" s="2" t="n">
        <v>1.04817001091965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customFormat="false" ht="15" hidden="false" customHeight="false" outlineLevel="0" collapsed="false">
      <c r="A46" s="2" t="s">
        <v>156</v>
      </c>
      <c r="B46" s="2"/>
      <c r="C46" s="2" t="s">
        <v>21</v>
      </c>
      <c r="D46" s="2" t="s">
        <v>22</v>
      </c>
      <c r="E46" s="2" t="s">
        <v>157</v>
      </c>
      <c r="F46" s="2" t="n">
        <v>9.63701</v>
      </c>
      <c r="G46" s="2" t="n">
        <v>-84.0089</v>
      </c>
      <c r="H46" s="2" t="s">
        <v>158</v>
      </c>
      <c r="I46" s="2" t="n">
        <v>2024</v>
      </c>
      <c r="J46" s="2" t="n">
        <v>-0.412853001047069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customFormat="false" ht="15" hidden="false" customHeight="false" outlineLevel="0" collapsed="false">
      <c r="A47" s="2" t="s">
        <v>159</v>
      </c>
      <c r="B47" s="2"/>
      <c r="C47" s="2" t="s">
        <v>21</v>
      </c>
      <c r="D47" s="2" t="s">
        <v>36</v>
      </c>
      <c r="E47" s="2" t="s">
        <v>160</v>
      </c>
      <c r="F47" s="2" t="n">
        <v>23.1333</v>
      </c>
      <c r="G47" s="2" t="n">
        <v>-82.3667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customFormat="false" ht="15" hidden="false" customHeight="false" outlineLevel="0" collapsed="false">
      <c r="A48" s="2" t="s">
        <v>161</v>
      </c>
      <c r="B48" s="2"/>
      <c r="C48" s="2" t="s">
        <v>21</v>
      </c>
      <c r="D48" s="2" t="s">
        <v>22</v>
      </c>
      <c r="E48" s="2" t="s">
        <v>162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customFormat="false" ht="15" hidden="false" customHeight="false" outlineLevel="0" collapsed="false">
      <c r="A49" s="2" t="s">
        <v>163</v>
      </c>
      <c r="B49" s="2"/>
      <c r="C49" s="2" t="s">
        <v>21</v>
      </c>
      <c r="D49" s="2" t="s">
        <v>22</v>
      </c>
      <c r="E49" s="2" t="s">
        <v>164</v>
      </c>
      <c r="F49" s="2" t="n">
        <v>19.3022</v>
      </c>
      <c r="G49" s="2" t="n">
        <v>-81.3857</v>
      </c>
      <c r="H49" s="2"/>
      <c r="I49" s="2"/>
      <c r="J49" s="2"/>
      <c r="K49" s="2" t="n">
        <v>94.3</v>
      </c>
      <c r="L49" s="2" t="n">
        <v>60.2</v>
      </c>
      <c r="M49" s="2" t="n">
        <v>85.6</v>
      </c>
      <c r="N49" s="2" t="n">
        <v>92.1</v>
      </c>
      <c r="O49" s="2" t="n">
        <v>115.8</v>
      </c>
      <c r="P49" s="2" t="n">
        <v>6.36</v>
      </c>
      <c r="Q49" s="2"/>
      <c r="R49" s="2"/>
      <c r="S49" s="2" t="n">
        <v>2500</v>
      </c>
      <c r="T49" s="2"/>
    </row>
    <row r="50" customFormat="false" ht="15" hidden="false" customHeight="false" outlineLevel="0" collapsed="false">
      <c r="A50" s="2" t="s">
        <v>165</v>
      </c>
      <c r="B50" s="2"/>
      <c r="C50" s="2" t="s">
        <v>35</v>
      </c>
      <c r="D50" s="2" t="s">
        <v>22</v>
      </c>
      <c r="E50" s="2" t="s">
        <v>166</v>
      </c>
      <c r="F50" s="2" t="n">
        <v>35.1676</v>
      </c>
      <c r="G50" s="2" t="n">
        <v>33.3736</v>
      </c>
      <c r="H50" s="2" t="s">
        <v>167</v>
      </c>
      <c r="I50" s="2" t="n">
        <v>2024</v>
      </c>
      <c r="J50" s="2" t="n">
        <v>1.80023018624824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customFormat="false" ht="15" hidden="false" customHeight="false" outlineLevel="0" collapsed="false">
      <c r="A51" s="2" t="s">
        <v>168</v>
      </c>
      <c r="B51" s="2"/>
      <c r="C51" s="2" t="s">
        <v>35</v>
      </c>
      <c r="D51" s="2" t="s">
        <v>22</v>
      </c>
      <c r="E51" s="2" t="s">
        <v>169</v>
      </c>
      <c r="F51" s="2" t="n">
        <v>50.0878</v>
      </c>
      <c r="G51" s="2" t="n">
        <v>14.4205</v>
      </c>
      <c r="H51" s="2" t="s">
        <v>170</v>
      </c>
      <c r="I51" s="2" t="n">
        <v>2024</v>
      </c>
      <c r="J51" s="2" t="n">
        <v>2.43531202435314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customFormat="false" ht="15" hidden="false" customHeight="false" outlineLevel="0" collapsed="false">
      <c r="A52" s="2" t="s">
        <v>171</v>
      </c>
      <c r="B52" s="2"/>
      <c r="C52" s="2" t="s">
        <v>35</v>
      </c>
      <c r="D52" s="2" t="s">
        <v>22</v>
      </c>
      <c r="E52" s="2" t="s">
        <v>172</v>
      </c>
      <c r="F52" s="2" t="n">
        <v>52.5235</v>
      </c>
      <c r="G52" s="2" t="n">
        <v>13.4115</v>
      </c>
      <c r="H52" s="2" t="s">
        <v>173</v>
      </c>
      <c r="I52" s="2" t="n">
        <v>2024</v>
      </c>
      <c r="J52" s="2" t="n">
        <v>2.2564981433876</v>
      </c>
      <c r="K52" s="2" t="n">
        <v>64.1</v>
      </c>
      <c r="L52" s="2" t="n">
        <v>26.5</v>
      </c>
      <c r="M52" s="2" t="n">
        <v>59.7</v>
      </c>
      <c r="N52" s="2" t="n">
        <v>62.8</v>
      </c>
      <c r="O52" s="2" t="n">
        <v>91.3</v>
      </c>
      <c r="P52" s="2" t="n">
        <v>2.72</v>
      </c>
      <c r="Q52" s="2" t="n">
        <v>4.85</v>
      </c>
      <c r="R52" s="2" t="n">
        <v>112.3</v>
      </c>
      <c r="S52" s="2" t="n">
        <v>850</v>
      </c>
      <c r="T52" s="2" t="n">
        <v>170</v>
      </c>
    </row>
    <row r="53" customFormat="false" ht="15" hidden="false" customHeight="false" outlineLevel="0" collapsed="false">
      <c r="A53" s="2" t="s">
        <v>174</v>
      </c>
      <c r="B53" s="2"/>
      <c r="C53" s="2" t="s">
        <v>25</v>
      </c>
      <c r="D53" s="2" t="s">
        <v>31</v>
      </c>
      <c r="E53" s="2" t="s">
        <v>174</v>
      </c>
      <c r="F53" s="2" t="n">
        <v>11.5806</v>
      </c>
      <c r="G53" s="2" t="n">
        <v>43.1425</v>
      </c>
      <c r="H53" s="2" t="s">
        <v>175</v>
      </c>
      <c r="I53" s="2" t="n">
        <v>2024</v>
      </c>
      <c r="J53" s="2" t="n">
        <v>2.1120116728497</v>
      </c>
      <c r="K53" s="2"/>
      <c r="L53" s="2"/>
      <c r="M53" s="2"/>
      <c r="N53" s="2"/>
      <c r="O53" s="2"/>
      <c r="P53" s="2" t="n">
        <v>9.53</v>
      </c>
      <c r="Q53" s="2"/>
      <c r="R53" s="2"/>
      <c r="S53" s="2"/>
      <c r="T53" s="2"/>
    </row>
    <row r="54" customFormat="false" ht="15" hidden="false" customHeight="false" outlineLevel="0" collapsed="false">
      <c r="A54" s="2" t="s">
        <v>176</v>
      </c>
      <c r="B54" s="2"/>
      <c r="C54" s="2" t="s">
        <v>21</v>
      </c>
      <c r="D54" s="2" t="s">
        <v>36</v>
      </c>
      <c r="E54" s="2" t="s">
        <v>177</v>
      </c>
      <c r="F54" s="2" t="n">
        <v>15.2976</v>
      </c>
      <c r="G54" s="2" t="n">
        <v>-61.39</v>
      </c>
      <c r="H54" s="2" t="s">
        <v>178</v>
      </c>
      <c r="I54" s="2" t="n">
        <v>2024</v>
      </c>
      <c r="J54" s="2" t="n">
        <v>2.73620751873313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customFormat="false" ht="15" hidden="false" customHeight="false" outlineLevel="0" collapsed="false">
      <c r="A55" s="2" t="s">
        <v>179</v>
      </c>
      <c r="B55" s="2"/>
      <c r="C55" s="2" t="s">
        <v>35</v>
      </c>
      <c r="D55" s="2" t="s">
        <v>22</v>
      </c>
      <c r="E55" s="2" t="s">
        <v>180</v>
      </c>
      <c r="F55" s="2" t="n">
        <v>55.6763</v>
      </c>
      <c r="G55" s="2" t="n">
        <v>12.5681</v>
      </c>
      <c r="H55" s="2" t="s">
        <v>181</v>
      </c>
      <c r="I55" s="2" t="n">
        <v>2024</v>
      </c>
      <c r="J55" s="2" t="n">
        <v>1.37220049768926</v>
      </c>
      <c r="K55" s="2" t="n">
        <v>72.1</v>
      </c>
      <c r="L55" s="2" t="n">
        <v>36.4</v>
      </c>
      <c r="M55" s="2" t="n">
        <v>67.2</v>
      </c>
      <c r="N55" s="2" t="n">
        <v>75.3</v>
      </c>
      <c r="O55" s="2" t="n">
        <v>102.8</v>
      </c>
      <c r="P55" s="2" t="n">
        <v>3.48</v>
      </c>
      <c r="Q55" s="2" t="n">
        <v>5.42</v>
      </c>
      <c r="R55" s="2" t="n">
        <v>128.5</v>
      </c>
      <c r="S55" s="2"/>
      <c r="T55" s="2"/>
    </row>
    <row r="56" customFormat="false" ht="15" hidden="false" customHeight="false" outlineLevel="0" collapsed="false">
      <c r="A56" s="2" t="s">
        <v>182</v>
      </c>
      <c r="B56" s="2"/>
      <c r="C56" s="2" t="s">
        <v>21</v>
      </c>
      <c r="D56" s="2" t="s">
        <v>36</v>
      </c>
      <c r="E56" s="2" t="s">
        <v>183</v>
      </c>
      <c r="F56" s="2" t="n">
        <v>18.479</v>
      </c>
      <c r="G56" s="2" t="n">
        <v>-69.8908</v>
      </c>
      <c r="H56" s="2" t="s">
        <v>184</v>
      </c>
      <c r="I56" s="2" t="n">
        <v>2024</v>
      </c>
      <c r="J56" s="2" t="n">
        <v>3.30223338951227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customFormat="false" ht="15" hidden="false" customHeight="false" outlineLevel="0" collapsed="false">
      <c r="A57" s="2" t="s">
        <v>185</v>
      </c>
      <c r="B57" s="2"/>
      <c r="C57" s="2" t="s">
        <v>25</v>
      </c>
      <c r="D57" s="2" t="s">
        <v>36</v>
      </c>
      <c r="E57" s="2" t="s">
        <v>186</v>
      </c>
      <c r="F57" s="2" t="n">
        <v>36.7397</v>
      </c>
      <c r="G57" s="2" t="n">
        <v>3.05097</v>
      </c>
      <c r="H57" s="2" t="s">
        <v>187</v>
      </c>
      <c r="I57" s="2" t="n">
        <v>2024</v>
      </c>
      <c r="J57" s="2" t="n">
        <v>4.04611455313434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customFormat="false" ht="15" hidden="false" customHeight="false" outlineLevel="0" collapsed="false">
      <c r="A58" s="2" t="s">
        <v>188</v>
      </c>
      <c r="B58" s="2"/>
      <c r="C58" s="2" t="s">
        <v>21</v>
      </c>
      <c r="D58" s="2" t="s">
        <v>36</v>
      </c>
      <c r="E58" s="2" t="s">
        <v>189</v>
      </c>
      <c r="F58" s="2" t="n">
        <v>-0.229498</v>
      </c>
      <c r="G58" s="2" t="n">
        <v>-78.5243</v>
      </c>
      <c r="H58" s="2" t="s">
        <v>190</v>
      </c>
      <c r="I58" s="2" t="n">
        <v>2024</v>
      </c>
      <c r="J58" s="2" t="n">
        <v>1.54732515615369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customFormat="false" ht="15" hidden="false" customHeight="false" outlineLevel="0" collapsed="false">
      <c r="A59" s="2" t="s">
        <v>191</v>
      </c>
      <c r="B59" s="2"/>
      <c r="C59" s="2" t="s">
        <v>25</v>
      </c>
      <c r="D59" s="2" t="s">
        <v>31</v>
      </c>
      <c r="E59" s="2" t="s">
        <v>192</v>
      </c>
      <c r="F59" s="2" t="n">
        <v>30.0982</v>
      </c>
      <c r="G59" s="2" t="n">
        <v>31.2461</v>
      </c>
      <c r="H59" s="2" t="s">
        <v>193</v>
      </c>
      <c r="I59" s="2" t="n">
        <v>2024</v>
      </c>
      <c r="J59" s="2" t="n">
        <v>28.2705899322083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customFormat="false" ht="15" hidden="false" customHeight="false" outlineLevel="0" collapsed="false">
      <c r="A60" s="2" t="s">
        <v>194</v>
      </c>
      <c r="B60" s="2"/>
      <c r="C60" s="2" t="s">
        <v>30</v>
      </c>
      <c r="D60" s="2" t="s">
        <v>26</v>
      </c>
      <c r="E60" s="2" t="s">
        <v>195</v>
      </c>
      <c r="F60" s="2" t="n">
        <v>15.3315</v>
      </c>
      <c r="G60" s="2" t="n">
        <v>38.9183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customFormat="false" ht="15" hidden="false" customHeight="false" outlineLevel="0" collapsed="false">
      <c r="A61" s="2" t="s">
        <v>196</v>
      </c>
      <c r="B61" s="2"/>
      <c r="C61" s="2" t="s">
        <v>35</v>
      </c>
      <c r="D61" s="2" t="s">
        <v>22</v>
      </c>
      <c r="E61" s="2" t="s">
        <v>197</v>
      </c>
      <c r="F61" s="2" t="n">
        <v>40.4167</v>
      </c>
      <c r="G61" s="2" t="n">
        <v>-3.70327</v>
      </c>
      <c r="H61" s="2" t="s">
        <v>198</v>
      </c>
      <c r="I61" s="2" t="n">
        <v>2024</v>
      </c>
      <c r="J61" s="2" t="n">
        <v>2.747147886618</v>
      </c>
      <c r="K61" s="2" t="n">
        <v>60.8</v>
      </c>
      <c r="L61" s="2" t="n">
        <v>22.4</v>
      </c>
      <c r="M61" s="2" t="n">
        <v>56.8</v>
      </c>
      <c r="N61" s="2" t="n">
        <v>58.9</v>
      </c>
      <c r="O61" s="2" t="n">
        <v>82.1</v>
      </c>
      <c r="P61" s="2" t="n">
        <v>2.58</v>
      </c>
      <c r="Q61" s="2" t="n">
        <v>4.08</v>
      </c>
      <c r="R61" s="2" t="n">
        <v>92.6</v>
      </c>
      <c r="S61" s="2" t="n">
        <v>480</v>
      </c>
      <c r="T61" s="2" t="n">
        <v>95</v>
      </c>
    </row>
    <row r="62" customFormat="false" ht="15" hidden="false" customHeight="false" outlineLevel="0" collapsed="false">
      <c r="A62" s="2" t="s">
        <v>199</v>
      </c>
      <c r="B62" s="2"/>
      <c r="C62" s="2" t="s">
        <v>35</v>
      </c>
      <c r="D62" s="2" t="s">
        <v>22</v>
      </c>
      <c r="E62" s="2" t="s">
        <v>200</v>
      </c>
      <c r="F62" s="2" t="n">
        <v>59.4392</v>
      </c>
      <c r="G62" s="2" t="n">
        <v>24.7586</v>
      </c>
      <c r="H62" s="2" t="s">
        <v>201</v>
      </c>
      <c r="I62" s="2" t="n">
        <v>2024</v>
      </c>
      <c r="J62" s="2" t="n">
        <v>3.5194118998392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customFormat="false" ht="15" hidden="false" customHeight="false" outlineLevel="0" collapsed="false">
      <c r="A63" s="2" t="s">
        <v>202</v>
      </c>
      <c r="B63" s="2"/>
      <c r="C63" s="2" t="s">
        <v>30</v>
      </c>
      <c r="D63" s="2" t="s">
        <v>26</v>
      </c>
      <c r="E63" s="2" t="s">
        <v>203</v>
      </c>
      <c r="F63" s="2" t="n">
        <v>9.02274</v>
      </c>
      <c r="G63" s="2" t="n">
        <v>38.7468</v>
      </c>
      <c r="H63" s="2" t="s">
        <v>204</v>
      </c>
      <c r="I63" s="2" t="n">
        <v>2024</v>
      </c>
      <c r="J63" s="2" t="n">
        <v>21.0377460577711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customFormat="false" ht="15" hidden="false" customHeight="false" outlineLevel="0" collapsed="false">
      <c r="A64" s="2" t="s">
        <v>205</v>
      </c>
      <c r="B64" s="2"/>
      <c r="C64" s="2" t="s">
        <v>35</v>
      </c>
      <c r="D64" s="2" t="s">
        <v>22</v>
      </c>
      <c r="E64" s="2" t="s">
        <v>206</v>
      </c>
      <c r="F64" s="2" t="n">
        <v>60.1608</v>
      </c>
      <c r="G64" s="2" t="n">
        <v>24.9525</v>
      </c>
      <c r="H64" s="2" t="s">
        <v>207</v>
      </c>
      <c r="I64" s="2" t="n">
        <v>2024</v>
      </c>
      <c r="J64" s="2" t="n">
        <v>1.56568906231616</v>
      </c>
      <c r="K64" s="2"/>
      <c r="L64" s="2"/>
      <c r="M64" s="2"/>
      <c r="N64" s="2"/>
      <c r="O64" s="2"/>
      <c r="P64" s="2"/>
      <c r="Q64" s="2" t="n">
        <v>5.12</v>
      </c>
      <c r="R64" s="2" t="n">
        <v>118.6</v>
      </c>
      <c r="S64" s="2"/>
      <c r="T64" s="2"/>
    </row>
    <row r="65" customFormat="false" ht="15" hidden="false" customHeight="false" outlineLevel="0" collapsed="false">
      <c r="A65" s="2" t="s">
        <v>208</v>
      </c>
      <c r="B65" s="2"/>
      <c r="C65" s="2" t="s">
        <v>51</v>
      </c>
      <c r="D65" s="2" t="s">
        <v>36</v>
      </c>
      <c r="E65" s="2" t="s">
        <v>209</v>
      </c>
      <c r="F65" s="2" t="n">
        <v>-18.1149</v>
      </c>
      <c r="G65" s="2" t="n">
        <v>178.399</v>
      </c>
      <c r="H65" s="2" t="s">
        <v>210</v>
      </c>
      <c r="I65" s="2" t="n">
        <v>2024</v>
      </c>
      <c r="J65" s="2" t="n">
        <v>3.89084237884105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customFormat="false" ht="15" hidden="false" customHeight="false" outlineLevel="0" collapsed="false">
      <c r="A66" s="2" t="s">
        <v>211</v>
      </c>
      <c r="B66" s="2"/>
      <c r="C66" s="2" t="s">
        <v>35</v>
      </c>
      <c r="D66" s="2" t="s">
        <v>22</v>
      </c>
      <c r="E66" s="2" t="s">
        <v>212</v>
      </c>
      <c r="F66" s="2" t="n">
        <v>48.8566</v>
      </c>
      <c r="G66" s="2" t="n">
        <v>2.35097</v>
      </c>
      <c r="H66" s="2" t="s">
        <v>213</v>
      </c>
      <c r="I66" s="2" t="n">
        <v>2024</v>
      </c>
      <c r="J66" s="2" t="n">
        <v>1.99904942291463</v>
      </c>
      <c r="K66" s="2" t="n">
        <v>64.8</v>
      </c>
      <c r="L66" s="2" t="n">
        <v>27.9</v>
      </c>
      <c r="M66" s="2" t="n">
        <v>60.8</v>
      </c>
      <c r="N66" s="2" t="n">
        <v>63.5</v>
      </c>
      <c r="O66" s="2" t="n">
        <v>89.7</v>
      </c>
      <c r="P66" s="2" t="n">
        <v>2.78</v>
      </c>
      <c r="Q66" s="2" t="n">
        <v>4.62</v>
      </c>
      <c r="R66" s="2" t="n">
        <v>108.4</v>
      </c>
      <c r="S66" s="2" t="n">
        <v>738</v>
      </c>
      <c r="T66" s="2" t="n">
        <v>155</v>
      </c>
    </row>
    <row r="67" customFormat="false" ht="15" hidden="false" customHeight="false" outlineLevel="0" collapsed="false">
      <c r="A67" s="2" t="s">
        <v>214</v>
      </c>
      <c r="B67" s="2"/>
      <c r="C67" s="2" t="s">
        <v>35</v>
      </c>
      <c r="D67" s="2" t="s">
        <v>22</v>
      </c>
      <c r="E67" s="2" t="s">
        <v>215</v>
      </c>
      <c r="F67" s="2" t="n">
        <v>61.8926</v>
      </c>
      <c r="G67" s="2" t="n">
        <v>-6.91181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customFormat="false" ht="15" hidden="false" customHeight="false" outlineLevel="0" collapsed="false">
      <c r="A68" s="2" t="s">
        <v>216</v>
      </c>
      <c r="B68" s="2"/>
      <c r="C68" s="2" t="s">
        <v>51</v>
      </c>
      <c r="D68" s="2" t="s">
        <v>36</v>
      </c>
      <c r="E68" s="2" t="s">
        <v>217</v>
      </c>
      <c r="F68" s="2" t="n">
        <v>6.91771</v>
      </c>
      <c r="G68" s="2" t="n">
        <v>158.185</v>
      </c>
      <c r="H68" s="2" t="s">
        <v>218</v>
      </c>
      <c r="I68" s="2" t="n">
        <v>2022</v>
      </c>
      <c r="J68" s="2" t="n">
        <v>5.40874375479067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customFormat="false" ht="15" hidden="false" customHeight="false" outlineLevel="0" collapsed="false">
      <c r="A69" s="2" t="s">
        <v>219</v>
      </c>
      <c r="B69" s="2"/>
      <c r="C69" s="2" t="s">
        <v>30</v>
      </c>
      <c r="D69" s="2" t="s">
        <v>36</v>
      </c>
      <c r="E69" s="2" t="s">
        <v>220</v>
      </c>
      <c r="F69" s="2" t="n">
        <v>0.38832</v>
      </c>
      <c r="G69" s="2" t="n">
        <v>9.45162</v>
      </c>
      <c r="H69" s="2" t="s">
        <v>221</v>
      </c>
      <c r="I69" s="2" t="n">
        <v>2024</v>
      </c>
      <c r="J69" s="2" t="n">
        <v>1.17311998381218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customFormat="false" ht="15" hidden="false" customHeight="false" outlineLevel="0" collapsed="false">
      <c r="A70" s="2" t="s">
        <v>222</v>
      </c>
      <c r="B70" s="2"/>
      <c r="C70" s="2" t="s">
        <v>35</v>
      </c>
      <c r="D70" s="2" t="s">
        <v>22</v>
      </c>
      <c r="E70" s="2" t="s">
        <v>223</v>
      </c>
      <c r="F70" s="2" t="n">
        <v>51.5002</v>
      </c>
      <c r="G70" s="2" t="n">
        <v>-0.126236</v>
      </c>
      <c r="H70" s="2" t="s">
        <v>224</v>
      </c>
      <c r="I70" s="2" t="n">
        <v>2024</v>
      </c>
      <c r="J70" s="2" t="n">
        <v>3.2715729463592</v>
      </c>
      <c r="K70" s="2" t="n">
        <v>67.8</v>
      </c>
      <c r="L70" s="2" t="n">
        <v>30.5</v>
      </c>
      <c r="M70" s="2" t="n">
        <v>63.2</v>
      </c>
      <c r="N70" s="2" t="n">
        <v>66.7</v>
      </c>
      <c r="O70" s="2" t="n">
        <v>90.2</v>
      </c>
      <c r="P70" s="2" t="n">
        <v>3.12</v>
      </c>
      <c r="Q70" s="2" t="n">
        <v>4.48</v>
      </c>
      <c r="R70" s="2" t="n">
        <v>105.2</v>
      </c>
      <c r="S70" s="2" t="n">
        <v>1235</v>
      </c>
      <c r="T70" s="2" t="n">
        <v>160</v>
      </c>
    </row>
    <row r="71" customFormat="false" ht="15" hidden="false" customHeight="false" outlineLevel="0" collapsed="false">
      <c r="A71" s="2" t="s">
        <v>225</v>
      </c>
      <c r="B71" s="2"/>
      <c r="C71" s="2" t="s">
        <v>35</v>
      </c>
      <c r="D71" s="2" t="s">
        <v>36</v>
      </c>
      <c r="E71" s="2" t="s">
        <v>226</v>
      </c>
      <c r="F71" s="2" t="n">
        <v>41.71</v>
      </c>
      <c r="G71" s="2" t="n">
        <v>44.793</v>
      </c>
      <c r="H71" s="2" t="s">
        <v>227</v>
      </c>
      <c r="I71" s="2" t="n">
        <v>2024</v>
      </c>
      <c r="J71" s="2" t="n">
        <v>1.10971758022096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customFormat="false" ht="15" hidden="false" customHeight="false" outlineLevel="0" collapsed="false">
      <c r="A72" s="2" t="s">
        <v>228</v>
      </c>
      <c r="B72" s="2"/>
      <c r="C72" s="2" t="s">
        <v>30</v>
      </c>
      <c r="D72" s="2" t="s">
        <v>31</v>
      </c>
      <c r="E72" s="2" t="s">
        <v>229</v>
      </c>
      <c r="F72" s="2" t="n">
        <v>5.57045</v>
      </c>
      <c r="G72" s="2" t="n">
        <v>-0.20795</v>
      </c>
      <c r="H72" s="2" t="s">
        <v>230</v>
      </c>
      <c r="I72" s="2" t="n">
        <v>2024</v>
      </c>
      <c r="J72" s="2" t="n">
        <v>22.8483281157842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customFormat="false" ht="15" hidden="false" customHeight="false" outlineLevel="0" collapsed="false">
      <c r="A73" s="2" t="s">
        <v>231</v>
      </c>
      <c r="B73" s="2"/>
      <c r="C73" s="2" t="s">
        <v>35</v>
      </c>
      <c r="D73" s="2" t="s">
        <v>22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customFormat="false" ht="15" hidden="false" customHeight="false" outlineLevel="0" collapsed="false">
      <c r="A74" s="2" t="s">
        <v>232</v>
      </c>
      <c r="B74" s="2"/>
      <c r="C74" s="2" t="s">
        <v>30</v>
      </c>
      <c r="D74" s="2" t="s">
        <v>31</v>
      </c>
      <c r="E74" s="2" t="s">
        <v>233</v>
      </c>
      <c r="F74" s="2" t="n">
        <v>9.51667</v>
      </c>
      <c r="G74" s="2" t="n">
        <v>-13.7</v>
      </c>
      <c r="H74" s="2" t="s">
        <v>234</v>
      </c>
      <c r="I74" s="2" t="n">
        <v>2024</v>
      </c>
      <c r="J74" s="2" t="n">
        <v>8.12313914948596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customFormat="false" ht="15" hidden="false" customHeight="false" outlineLevel="0" collapsed="false">
      <c r="A75" s="2" t="s">
        <v>235</v>
      </c>
      <c r="B75" s="2"/>
      <c r="C75" s="2" t="s">
        <v>30</v>
      </c>
      <c r="D75" s="2" t="s">
        <v>26</v>
      </c>
      <c r="E75" s="2" t="s">
        <v>236</v>
      </c>
      <c r="F75" s="2" t="n">
        <v>13.4495</v>
      </c>
      <c r="G75" s="2" t="n">
        <v>-16.5885</v>
      </c>
      <c r="H75" s="2" t="s">
        <v>237</v>
      </c>
      <c r="I75" s="2" t="n">
        <v>2024</v>
      </c>
      <c r="J75" s="2" t="n">
        <v>11.5610532897511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customFormat="false" ht="15" hidden="false" customHeight="false" outlineLevel="0" collapsed="false">
      <c r="A76" s="2" t="s">
        <v>238</v>
      </c>
      <c r="B76" s="2"/>
      <c r="C76" s="2" t="s">
        <v>30</v>
      </c>
      <c r="D76" s="2" t="s">
        <v>26</v>
      </c>
      <c r="E76" s="2" t="s">
        <v>239</v>
      </c>
      <c r="F76" s="2" t="n">
        <v>11.8037</v>
      </c>
      <c r="G76" s="2" t="n">
        <v>-15.1804</v>
      </c>
      <c r="H76" s="2" t="s">
        <v>240</v>
      </c>
      <c r="I76" s="2" t="n">
        <v>2024</v>
      </c>
      <c r="J76" s="2" t="n">
        <v>3.76555825770114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customFormat="false" ht="15" hidden="false" customHeight="false" outlineLevel="0" collapsed="false">
      <c r="A77" s="2" t="s">
        <v>241</v>
      </c>
      <c r="B77" s="2"/>
      <c r="C77" s="2" t="s">
        <v>30</v>
      </c>
      <c r="D77" s="2" t="s">
        <v>36</v>
      </c>
      <c r="E77" s="2" t="s">
        <v>242</v>
      </c>
      <c r="F77" s="2" t="n">
        <v>3.7523</v>
      </c>
      <c r="G77" s="2" t="n">
        <v>8.7741</v>
      </c>
      <c r="H77" s="2" t="s">
        <v>243</v>
      </c>
      <c r="I77" s="2" t="n">
        <v>2024</v>
      </c>
      <c r="J77" s="2" t="n">
        <v>2.92140227309103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customFormat="false" ht="15" hidden="false" customHeight="false" outlineLevel="0" collapsed="false">
      <c r="A78" s="2" t="s">
        <v>244</v>
      </c>
      <c r="B78" s="2"/>
      <c r="C78" s="2" t="s">
        <v>35</v>
      </c>
      <c r="D78" s="2" t="s">
        <v>22</v>
      </c>
      <c r="E78" s="2" t="s">
        <v>245</v>
      </c>
      <c r="F78" s="2" t="n">
        <v>37.9792</v>
      </c>
      <c r="G78" s="2" t="n">
        <v>23.7166</v>
      </c>
      <c r="H78" s="2" t="s">
        <v>246</v>
      </c>
      <c r="I78" s="2" t="n">
        <v>2024</v>
      </c>
      <c r="J78" s="2" t="n">
        <v>2.74101875679486</v>
      </c>
      <c r="K78" s="2" t="n">
        <v>57.1</v>
      </c>
      <c r="L78" s="2" t="n">
        <v>19.2</v>
      </c>
      <c r="M78" s="2" t="n">
        <v>53.8</v>
      </c>
      <c r="N78" s="2" t="n">
        <v>55.1</v>
      </c>
      <c r="O78" s="2" t="n">
        <v>76.4</v>
      </c>
      <c r="P78" s="2" t="n">
        <v>2.38</v>
      </c>
      <c r="Q78" s="2" t="n">
        <v>3.62</v>
      </c>
      <c r="R78" s="2" t="n">
        <v>78.2</v>
      </c>
      <c r="S78" s="2" t="n">
        <v>380</v>
      </c>
      <c r="T78" s="2" t="n">
        <v>75</v>
      </c>
    </row>
    <row r="79" customFormat="false" ht="15" hidden="false" customHeight="false" outlineLevel="0" collapsed="false">
      <c r="A79" s="2" t="s">
        <v>247</v>
      </c>
      <c r="B79" s="2"/>
      <c r="C79" s="2" t="s">
        <v>21</v>
      </c>
      <c r="D79" s="2" t="s">
        <v>36</v>
      </c>
      <c r="E79" s="2" t="s">
        <v>248</v>
      </c>
      <c r="F79" s="2" t="n">
        <v>12.0653</v>
      </c>
      <c r="G79" s="2" t="n">
        <v>-61.7449</v>
      </c>
      <c r="H79" s="2" t="s">
        <v>249</v>
      </c>
      <c r="I79" s="2" t="n">
        <v>2024</v>
      </c>
      <c r="J79" s="2" t="n">
        <v>1.08615365134737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customFormat="false" ht="15" hidden="false" customHeight="false" outlineLevel="0" collapsed="false">
      <c r="A80" s="2" t="s">
        <v>250</v>
      </c>
      <c r="B80" s="2"/>
      <c r="C80" s="2" t="s">
        <v>35</v>
      </c>
      <c r="D80" s="2" t="s">
        <v>22</v>
      </c>
      <c r="E80" s="2" t="s">
        <v>251</v>
      </c>
      <c r="F80" s="2" t="n">
        <v>64.1836</v>
      </c>
      <c r="G80" s="2" t="n">
        <v>-51.7214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customFormat="false" ht="15" hidden="false" customHeight="false" outlineLevel="0" collapsed="false">
      <c r="A81" s="2" t="s">
        <v>252</v>
      </c>
      <c r="B81" s="2"/>
      <c r="C81" s="2" t="s">
        <v>21</v>
      </c>
      <c r="D81" s="2" t="s">
        <v>36</v>
      </c>
      <c r="E81" s="2" t="s">
        <v>253</v>
      </c>
      <c r="F81" s="2" t="n">
        <v>14.6248</v>
      </c>
      <c r="G81" s="2" t="n">
        <v>-90.5328</v>
      </c>
      <c r="H81" s="2" t="s">
        <v>254</v>
      </c>
      <c r="I81" s="2" t="n">
        <v>2024</v>
      </c>
      <c r="J81" s="2" t="n">
        <v>2.86992752918294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customFormat="false" ht="15" hidden="false" customHeight="false" outlineLevel="0" collapsed="false">
      <c r="A82" s="2" t="s">
        <v>255</v>
      </c>
      <c r="B82" s="2"/>
      <c r="C82" s="2" t="s">
        <v>51</v>
      </c>
      <c r="D82" s="2" t="s">
        <v>22</v>
      </c>
      <c r="E82" s="2" t="s">
        <v>256</v>
      </c>
      <c r="F82" s="2" t="n">
        <v>13.4443</v>
      </c>
      <c r="G82" s="2" t="n">
        <v>144.794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customFormat="false" ht="15" hidden="false" customHeight="false" outlineLevel="0" collapsed="false">
      <c r="A83" s="2" t="s">
        <v>257</v>
      </c>
      <c r="B83" s="2"/>
      <c r="C83" s="2" t="s">
        <v>21</v>
      </c>
      <c r="D83" s="2" t="s">
        <v>22</v>
      </c>
      <c r="E83" s="2" t="s">
        <v>258</v>
      </c>
      <c r="F83" s="2" t="n">
        <v>6.80461</v>
      </c>
      <c r="G83" s="2" t="n">
        <v>-58.1548</v>
      </c>
      <c r="H83" s="2" t="s">
        <v>259</v>
      </c>
      <c r="I83" s="2" t="n">
        <v>2024</v>
      </c>
      <c r="J83" s="2" t="n">
        <v>2.90379501424778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customFormat="false" ht="15" hidden="false" customHeight="false" outlineLevel="0" collapsed="false">
      <c r="A84" s="2" t="s">
        <v>260</v>
      </c>
      <c r="B84" s="2"/>
      <c r="C84" s="2" t="s">
        <v>51</v>
      </c>
      <c r="D84" s="2" t="s">
        <v>22</v>
      </c>
      <c r="E84" s="2"/>
      <c r="F84" s="2" t="n">
        <v>22.3964</v>
      </c>
      <c r="G84" s="2" t="n">
        <v>114.109</v>
      </c>
      <c r="H84" s="2" t="s">
        <v>261</v>
      </c>
      <c r="I84" s="2" t="n">
        <v>2024</v>
      </c>
      <c r="J84" s="2" t="n">
        <v>1.72972119105914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customFormat="false" ht="15" hidden="false" customHeight="false" outlineLevel="0" collapsed="false">
      <c r="A85" s="2" t="s">
        <v>262</v>
      </c>
      <c r="B85" s="2"/>
      <c r="C85" s="2" t="s">
        <v>21</v>
      </c>
      <c r="D85" s="2" t="s">
        <v>31</v>
      </c>
      <c r="E85" s="2" t="s">
        <v>263</v>
      </c>
      <c r="F85" s="2" t="n">
        <v>15.1333</v>
      </c>
      <c r="G85" s="2" t="n">
        <v>-87.4667</v>
      </c>
      <c r="H85" s="2" t="s">
        <v>264</v>
      </c>
      <c r="I85" s="2" t="n">
        <v>2024</v>
      </c>
      <c r="J85" s="2" t="n">
        <v>4.60621098127101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customFormat="false" ht="15" hidden="false" customHeight="false" outlineLevel="0" collapsed="false">
      <c r="A86" s="2" t="s">
        <v>265</v>
      </c>
      <c r="B86" s="2"/>
      <c r="C86" s="2" t="s">
        <v>35</v>
      </c>
      <c r="D86" s="2" t="s">
        <v>22</v>
      </c>
      <c r="E86" s="2" t="s">
        <v>266</v>
      </c>
      <c r="F86" s="2" t="n">
        <v>45.8069</v>
      </c>
      <c r="G86" s="2" t="n">
        <v>15.9614</v>
      </c>
      <c r="H86" s="2" t="s">
        <v>267</v>
      </c>
      <c r="I86" s="2" t="n">
        <v>2024</v>
      </c>
      <c r="J86" s="2" t="n">
        <v>2.97200477643626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customFormat="false" ht="15" hidden="false" customHeight="false" outlineLevel="0" collapsed="false">
      <c r="A87" s="2" t="s">
        <v>268</v>
      </c>
      <c r="B87" s="2"/>
      <c r="C87" s="2" t="s">
        <v>21</v>
      </c>
      <c r="D87" s="2" t="s">
        <v>31</v>
      </c>
      <c r="E87" s="2" t="s">
        <v>269</v>
      </c>
      <c r="F87" s="2" t="n">
        <v>18.5392</v>
      </c>
      <c r="G87" s="2" t="n">
        <v>-72.3288</v>
      </c>
      <c r="H87" s="2" t="s">
        <v>270</v>
      </c>
      <c r="I87" s="2" t="n">
        <v>2024</v>
      </c>
      <c r="J87" s="2" t="n">
        <v>26.9490564091987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customFormat="false" ht="15" hidden="false" customHeight="false" outlineLevel="0" collapsed="false">
      <c r="A88" s="2" t="s">
        <v>271</v>
      </c>
      <c r="B88" s="2"/>
      <c r="C88" s="2" t="s">
        <v>35</v>
      </c>
      <c r="D88" s="2" t="s">
        <v>22</v>
      </c>
      <c r="E88" s="2" t="s">
        <v>272</v>
      </c>
      <c r="F88" s="2" t="n">
        <v>47.4984</v>
      </c>
      <c r="G88" s="2" t="n">
        <v>19.0408</v>
      </c>
      <c r="H88" s="2" t="s">
        <v>273</v>
      </c>
      <c r="I88" s="2" t="n">
        <v>2024</v>
      </c>
      <c r="J88" s="2" t="n">
        <v>3.70370370370369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customFormat="false" ht="15" hidden="false" customHeight="false" outlineLevel="0" collapsed="false">
      <c r="A89" s="2" t="s">
        <v>274</v>
      </c>
      <c r="B89" s="2"/>
      <c r="C89" s="2" t="s">
        <v>51</v>
      </c>
      <c r="D89" s="2" t="s">
        <v>36</v>
      </c>
      <c r="E89" s="2" t="s">
        <v>275</v>
      </c>
      <c r="F89" s="2" t="n">
        <v>-6.19752</v>
      </c>
      <c r="G89" s="2" t="n">
        <v>106.83</v>
      </c>
      <c r="H89" s="2" t="s">
        <v>276</v>
      </c>
      <c r="I89" s="2" t="n">
        <v>2024</v>
      </c>
      <c r="J89" s="2" t="n">
        <v>2.18151273615189</v>
      </c>
      <c r="K89" s="2" t="n">
        <v>47.2</v>
      </c>
      <c r="L89" s="2" t="n">
        <v>12.8</v>
      </c>
      <c r="M89" s="2" t="n">
        <v>45.1</v>
      </c>
      <c r="N89" s="2" t="n">
        <v>45.8</v>
      </c>
      <c r="O89" s="2" t="n">
        <v>60.8</v>
      </c>
      <c r="P89" s="2" t="n">
        <v>1.45</v>
      </c>
      <c r="Q89" s="2" t="n">
        <v>2.05</v>
      </c>
      <c r="R89" s="2" t="n">
        <v>32.4</v>
      </c>
      <c r="S89" s="2" t="n">
        <v>305</v>
      </c>
      <c r="T89" s="2" t="n">
        <v>55</v>
      </c>
    </row>
    <row r="90" customFormat="false" ht="15" hidden="false" customHeight="false" outlineLevel="0" collapsed="false">
      <c r="A90" s="2" t="s">
        <v>277</v>
      </c>
      <c r="B90" s="2"/>
      <c r="C90" s="2" t="s">
        <v>35</v>
      </c>
      <c r="D90" s="2" t="s">
        <v>22</v>
      </c>
      <c r="E90" s="2" t="s">
        <v>278</v>
      </c>
      <c r="F90" s="2" t="n">
        <v>54.1509</v>
      </c>
      <c r="G90" s="2" t="n">
        <v>-4.47928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customFormat="false" ht="15" hidden="false" customHeight="false" outlineLevel="0" collapsed="false">
      <c r="A91" s="2" t="s">
        <v>279</v>
      </c>
      <c r="B91" s="2"/>
      <c r="C91" s="2" t="s">
        <v>78</v>
      </c>
      <c r="D91" s="2" t="s">
        <v>31</v>
      </c>
      <c r="E91" s="2" t="s">
        <v>280</v>
      </c>
      <c r="F91" s="2" t="n">
        <v>28.6353</v>
      </c>
      <c r="G91" s="2" t="n">
        <v>77.225</v>
      </c>
      <c r="H91" s="2" t="s">
        <v>281</v>
      </c>
      <c r="I91" s="2" t="n">
        <v>2024</v>
      </c>
      <c r="J91" s="2" t="n">
        <v>4.95303550973661</v>
      </c>
      <c r="K91" s="2" t="n">
        <v>48.5</v>
      </c>
      <c r="L91" s="2" t="n">
        <v>13.5</v>
      </c>
      <c r="M91" s="2" t="n">
        <v>46.2</v>
      </c>
      <c r="N91" s="2" t="n">
        <v>47.1</v>
      </c>
      <c r="O91" s="2" t="n">
        <v>62.5</v>
      </c>
      <c r="P91" s="2" t="n">
        <v>1.52</v>
      </c>
      <c r="Q91" s="2" t="n">
        <v>2.18</v>
      </c>
      <c r="R91" s="2" t="n">
        <v>35.2</v>
      </c>
      <c r="S91" s="2" t="n">
        <v>164</v>
      </c>
      <c r="T91" s="2" t="n">
        <v>45</v>
      </c>
    </row>
    <row r="92" customFormat="false" ht="15" hidden="false" customHeight="false" outlineLevel="0" collapsed="false">
      <c r="A92" s="2" t="s">
        <v>282</v>
      </c>
      <c r="B92" s="2"/>
      <c r="C92" s="2" t="s">
        <v>35</v>
      </c>
      <c r="D92" s="2" t="s">
        <v>22</v>
      </c>
      <c r="E92" s="2" t="s">
        <v>283</v>
      </c>
      <c r="F92" s="2" t="n">
        <v>53.3441</v>
      </c>
      <c r="G92" s="2" t="n">
        <v>-6.26749</v>
      </c>
      <c r="H92" s="2" t="s">
        <v>284</v>
      </c>
      <c r="I92" s="2" t="n">
        <v>2024</v>
      </c>
      <c r="J92" s="2" t="n">
        <v>2.11344999577317</v>
      </c>
      <c r="K92" s="2" t="n">
        <v>68.9</v>
      </c>
      <c r="L92" s="2" t="n">
        <v>40.2</v>
      </c>
      <c r="M92" s="2" t="n">
        <v>64.7</v>
      </c>
      <c r="N92" s="2" t="n">
        <v>70.1</v>
      </c>
      <c r="O92" s="2" t="n">
        <v>92.4</v>
      </c>
      <c r="P92" s="2"/>
      <c r="Q92" s="2"/>
      <c r="R92" s="2"/>
      <c r="S92" s="2"/>
      <c r="T92" s="2"/>
    </row>
    <row r="93" customFormat="false" ht="15" hidden="false" customHeight="false" outlineLevel="0" collapsed="false">
      <c r="A93" s="2" t="s">
        <v>285</v>
      </c>
      <c r="B93" s="2"/>
      <c r="C93" s="2" t="s">
        <v>25</v>
      </c>
      <c r="D93" s="2" t="s">
        <v>36</v>
      </c>
      <c r="E93" s="2" t="s">
        <v>286</v>
      </c>
      <c r="F93" s="2" t="n">
        <v>35.6878</v>
      </c>
      <c r="G93" s="2" t="n">
        <v>51.4447</v>
      </c>
      <c r="H93" s="2" t="s">
        <v>287</v>
      </c>
      <c r="I93" s="2" t="n">
        <v>2024</v>
      </c>
      <c r="J93" s="2" t="n">
        <v>32.455871402917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customFormat="false" ht="15" hidden="false" customHeight="false" outlineLevel="0" collapsed="false">
      <c r="A94" s="2" t="s">
        <v>288</v>
      </c>
      <c r="B94" s="2"/>
      <c r="C94" s="2" t="s">
        <v>25</v>
      </c>
      <c r="D94" s="2" t="s">
        <v>36</v>
      </c>
      <c r="E94" s="2" t="s">
        <v>289</v>
      </c>
      <c r="F94" s="2" t="n">
        <v>33.3302</v>
      </c>
      <c r="G94" s="2" t="n">
        <v>44.394</v>
      </c>
      <c r="H94" s="2" t="s">
        <v>290</v>
      </c>
      <c r="I94" s="2" t="n">
        <v>2024</v>
      </c>
      <c r="J94" s="2" t="n">
        <v>2.6116961151764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customFormat="false" ht="15" hidden="false" customHeight="false" outlineLevel="0" collapsed="false">
      <c r="A95" s="2" t="s">
        <v>291</v>
      </c>
      <c r="B95" s="2"/>
      <c r="C95" s="2" t="s">
        <v>35</v>
      </c>
      <c r="D95" s="2" t="s">
        <v>22</v>
      </c>
      <c r="E95" s="2" t="s">
        <v>292</v>
      </c>
      <c r="F95" s="2" t="n">
        <v>64.1353</v>
      </c>
      <c r="G95" s="2" t="n">
        <v>-21.8952</v>
      </c>
      <c r="H95" s="2" t="s">
        <v>293</v>
      </c>
      <c r="I95" s="2" t="n">
        <v>2024</v>
      </c>
      <c r="J95" s="2" t="n">
        <v>5.85683849970072</v>
      </c>
      <c r="K95" s="2" t="n">
        <v>78.2</v>
      </c>
      <c r="L95" s="2" t="n">
        <v>45.6</v>
      </c>
      <c r="M95" s="2" t="n">
        <v>72.3</v>
      </c>
      <c r="N95" s="2" t="n">
        <v>82.1</v>
      </c>
      <c r="O95" s="2" t="n">
        <v>98.7</v>
      </c>
      <c r="P95" s="2" t="n">
        <v>4.26</v>
      </c>
      <c r="Q95" s="2" t="n">
        <v>7.94</v>
      </c>
      <c r="R95" s="2" t="n">
        <v>131.85</v>
      </c>
      <c r="S95" s="2"/>
      <c r="T95" s="2"/>
    </row>
    <row r="96" customFormat="false" ht="15" hidden="false" customHeight="false" outlineLevel="0" collapsed="false">
      <c r="A96" s="2" t="s">
        <v>294</v>
      </c>
      <c r="B96" s="2"/>
      <c r="C96" s="2" t="s">
        <v>25</v>
      </c>
      <c r="D96" s="2" t="s">
        <v>22</v>
      </c>
      <c r="E96" s="2"/>
      <c r="F96" s="2" t="n">
        <v>31.7717</v>
      </c>
      <c r="G96" s="2" t="n">
        <v>35.2035</v>
      </c>
      <c r="H96" s="2" t="s">
        <v>295</v>
      </c>
      <c r="I96" s="2" t="n">
        <v>2024</v>
      </c>
      <c r="J96" s="2" t="n">
        <v>3.07480889805025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customFormat="false" ht="15" hidden="false" customHeight="false" outlineLevel="0" collapsed="false">
      <c r="A97" s="2" t="s">
        <v>296</v>
      </c>
      <c r="B97" s="2"/>
      <c r="C97" s="2" t="s">
        <v>35</v>
      </c>
      <c r="D97" s="2" t="s">
        <v>22</v>
      </c>
      <c r="E97" s="2" t="s">
        <v>297</v>
      </c>
      <c r="F97" s="2" t="n">
        <v>41.8955</v>
      </c>
      <c r="G97" s="2" t="n">
        <v>12.4823</v>
      </c>
      <c r="H97" s="2" t="s">
        <v>298</v>
      </c>
      <c r="I97" s="2" t="n">
        <v>2024</v>
      </c>
      <c r="J97" s="2" t="n">
        <v>0.982373023061417</v>
      </c>
      <c r="K97" s="2" t="n">
        <v>62.5</v>
      </c>
      <c r="L97" s="2" t="n">
        <v>23.7</v>
      </c>
      <c r="M97" s="2" t="n">
        <v>58.2</v>
      </c>
      <c r="N97" s="2" t="n">
        <v>60.5</v>
      </c>
      <c r="O97" s="2" t="n">
        <v>83.6</v>
      </c>
      <c r="P97" s="2" t="n">
        <v>2.65</v>
      </c>
      <c r="Q97" s="2" t="n">
        <v>4.25</v>
      </c>
      <c r="R97" s="2" t="n">
        <v>98.5</v>
      </c>
      <c r="S97" s="2" t="n">
        <v>550</v>
      </c>
      <c r="T97" s="2" t="n">
        <v>110</v>
      </c>
    </row>
    <row r="98" customFormat="false" ht="15" hidden="false" customHeight="false" outlineLevel="0" collapsed="false">
      <c r="A98" s="2" t="s">
        <v>299</v>
      </c>
      <c r="B98" s="2"/>
      <c r="C98" s="2" t="s">
        <v>21</v>
      </c>
      <c r="D98" s="2" t="s">
        <v>36</v>
      </c>
      <c r="E98" s="2" t="s">
        <v>300</v>
      </c>
      <c r="F98" s="2" t="n">
        <v>17.9927</v>
      </c>
      <c r="G98" s="2" t="n">
        <v>-76.792</v>
      </c>
      <c r="H98" s="2" t="s">
        <v>301</v>
      </c>
      <c r="I98" s="2" t="n">
        <v>2024</v>
      </c>
      <c r="J98" s="2" t="n">
        <v>5.41194447981659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customFormat="false" ht="15" hidden="false" customHeight="false" outlineLevel="0" collapsed="false">
      <c r="A99" s="2" t="s">
        <v>302</v>
      </c>
      <c r="B99" s="2"/>
      <c r="C99" s="2" t="s">
        <v>25</v>
      </c>
      <c r="D99" s="2" t="s">
        <v>36</v>
      </c>
      <c r="E99" s="2" t="s">
        <v>303</v>
      </c>
      <c r="F99" s="2" t="n">
        <v>31.9497</v>
      </c>
      <c r="G99" s="2" t="n">
        <v>35.9263</v>
      </c>
      <c r="H99" s="2" t="s">
        <v>304</v>
      </c>
      <c r="I99" s="2" t="n">
        <v>2024</v>
      </c>
      <c r="J99" s="2" t="n">
        <v>1.55659611283953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customFormat="false" ht="15" hidden="false" customHeight="false" outlineLevel="0" collapsed="false">
      <c r="A100" s="2" t="s">
        <v>305</v>
      </c>
      <c r="B100" s="2"/>
      <c r="C100" s="2" t="s">
        <v>51</v>
      </c>
      <c r="D100" s="2" t="s">
        <v>22</v>
      </c>
      <c r="E100" s="2" t="s">
        <v>306</v>
      </c>
      <c r="F100" s="2" t="n">
        <v>35.67</v>
      </c>
      <c r="G100" s="2" t="n">
        <v>139.77</v>
      </c>
      <c r="H100" s="2" t="s">
        <v>307</v>
      </c>
      <c r="I100" s="2" t="n">
        <v>2024</v>
      </c>
      <c r="J100" s="2" t="n">
        <v>2.73853681635241</v>
      </c>
      <c r="K100" s="2" t="n">
        <v>63.2</v>
      </c>
      <c r="L100" s="2" t="n">
        <v>24.8</v>
      </c>
      <c r="M100" s="2" t="n">
        <v>58.9</v>
      </c>
      <c r="N100" s="2" t="n">
        <v>61.2</v>
      </c>
      <c r="O100" s="2" t="n">
        <v>85.4</v>
      </c>
      <c r="P100" s="2" t="n">
        <v>2.85</v>
      </c>
      <c r="Q100" s="2"/>
      <c r="R100" s="2"/>
      <c r="S100" s="2" t="n">
        <v>750</v>
      </c>
      <c r="T100" s="2" t="n">
        <v>130</v>
      </c>
    </row>
    <row r="101" customFormat="false" ht="15" hidden="false" customHeight="false" outlineLevel="0" collapsed="false">
      <c r="A101" s="2" t="s">
        <v>308</v>
      </c>
      <c r="B101" s="2"/>
      <c r="C101" s="2" t="s">
        <v>35</v>
      </c>
      <c r="D101" s="2" t="s">
        <v>36</v>
      </c>
      <c r="E101" s="2" t="s">
        <v>309</v>
      </c>
      <c r="F101" s="2" t="n">
        <v>51.1879</v>
      </c>
      <c r="G101" s="2" t="n">
        <v>71.4382</v>
      </c>
      <c r="H101" s="2" t="s">
        <v>310</v>
      </c>
      <c r="I101" s="2" t="n">
        <v>2024</v>
      </c>
      <c r="J101" s="2" t="n">
        <v>8.69082156104494</v>
      </c>
      <c r="K101" s="2"/>
      <c r="L101" s="2"/>
      <c r="M101" s="2"/>
      <c r="N101" s="2"/>
      <c r="O101" s="2"/>
      <c r="P101" s="2" t="n">
        <v>0.44</v>
      </c>
      <c r="Q101" s="2"/>
      <c r="R101" s="2"/>
      <c r="S101" s="2"/>
      <c r="T101" s="2"/>
    </row>
    <row r="102" customFormat="false" ht="15" hidden="false" customHeight="false" outlineLevel="0" collapsed="false">
      <c r="A102" s="2" t="s">
        <v>311</v>
      </c>
      <c r="B102" s="2"/>
      <c r="C102" s="2" t="s">
        <v>30</v>
      </c>
      <c r="D102" s="2" t="s">
        <v>31</v>
      </c>
      <c r="E102" s="2" t="s">
        <v>312</v>
      </c>
      <c r="F102" s="2" t="n">
        <v>-1.27975</v>
      </c>
      <c r="G102" s="2" t="n">
        <v>36.8126</v>
      </c>
      <c r="H102" s="2" t="s">
        <v>313</v>
      </c>
      <c r="I102" s="2" t="n">
        <v>2024</v>
      </c>
      <c r="J102" s="2" t="n">
        <v>4.48978854243448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customFormat="false" ht="15" hidden="false" customHeight="false" outlineLevel="0" collapsed="false">
      <c r="A103" s="2" t="s">
        <v>314</v>
      </c>
      <c r="B103" s="2"/>
      <c r="C103" s="2" t="s">
        <v>35</v>
      </c>
      <c r="D103" s="2" t="s">
        <v>31</v>
      </c>
      <c r="E103" s="2" t="s">
        <v>315</v>
      </c>
      <c r="F103" s="2" t="n">
        <v>42.8851</v>
      </c>
      <c r="G103" s="2" t="n">
        <v>74.6057</v>
      </c>
      <c r="H103" s="2" t="s">
        <v>316</v>
      </c>
      <c r="I103" s="2" t="n">
        <v>2024</v>
      </c>
      <c r="J103" s="2" t="n">
        <v>4.99760701207323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customFormat="false" ht="15" hidden="false" customHeight="false" outlineLevel="0" collapsed="false">
      <c r="A104" s="2" t="s">
        <v>317</v>
      </c>
      <c r="B104" s="2"/>
      <c r="C104" s="2" t="s">
        <v>51</v>
      </c>
      <c r="D104" s="2" t="s">
        <v>31</v>
      </c>
      <c r="E104" s="2" t="s">
        <v>318</v>
      </c>
      <c r="F104" s="2" t="n">
        <v>11.5556</v>
      </c>
      <c r="G104" s="2" t="n">
        <v>104.874</v>
      </c>
      <c r="H104" s="2" t="s">
        <v>319</v>
      </c>
      <c r="I104" s="2" t="n">
        <v>2024</v>
      </c>
      <c r="J104" s="2" t="n">
        <v>0.808042016536654</v>
      </c>
      <c r="K104" s="2" t="n">
        <v>50.2</v>
      </c>
      <c r="L104" s="2" t="n">
        <v>14.5</v>
      </c>
      <c r="M104" s="2" t="n">
        <v>48.2</v>
      </c>
      <c r="N104" s="2" t="n">
        <v>48.5</v>
      </c>
      <c r="O104" s="2" t="n">
        <v>65.2</v>
      </c>
      <c r="P104" s="2"/>
      <c r="Q104" s="2"/>
      <c r="R104" s="2"/>
      <c r="S104" s="2" t="n">
        <v>160</v>
      </c>
      <c r="T104" s="2"/>
    </row>
    <row r="105" customFormat="false" ht="15" hidden="false" customHeight="false" outlineLevel="0" collapsed="false">
      <c r="A105" s="2" t="s">
        <v>320</v>
      </c>
      <c r="B105" s="2"/>
      <c r="C105" s="2" t="s">
        <v>51</v>
      </c>
      <c r="D105" s="2" t="s">
        <v>31</v>
      </c>
      <c r="E105" s="2" t="s">
        <v>321</v>
      </c>
      <c r="F105" s="2" t="n">
        <v>1.32905</v>
      </c>
      <c r="G105" s="2" t="n">
        <v>172.979</v>
      </c>
      <c r="H105" s="2" t="s">
        <v>322</v>
      </c>
      <c r="I105" s="2" t="n">
        <v>2024</v>
      </c>
      <c r="J105" s="2" t="n">
        <v>2.45545072159028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customFormat="false" ht="15" hidden="false" customHeight="false" outlineLevel="0" collapsed="false">
      <c r="A106" s="2" t="s">
        <v>323</v>
      </c>
      <c r="B106" s="2"/>
      <c r="C106" s="2" t="s">
        <v>21</v>
      </c>
      <c r="D106" s="2" t="s">
        <v>22</v>
      </c>
      <c r="E106" s="2" t="s">
        <v>324</v>
      </c>
      <c r="F106" s="2" t="n">
        <v>17.3</v>
      </c>
      <c r="G106" s="2" t="n">
        <v>-62.7309</v>
      </c>
      <c r="H106" s="2" t="s">
        <v>325</v>
      </c>
      <c r="I106" s="2" t="n">
        <v>2023</v>
      </c>
      <c r="J106" s="2" t="n">
        <v>3.55711230848243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customFormat="false" ht="15" hidden="false" customHeight="false" outlineLevel="0" collapsed="false">
      <c r="A107" s="2" t="s">
        <v>326</v>
      </c>
      <c r="B107" s="2"/>
      <c r="C107" s="2" t="s">
        <v>51</v>
      </c>
      <c r="D107" s="2" t="s">
        <v>22</v>
      </c>
      <c r="E107" s="2" t="s">
        <v>327</v>
      </c>
      <c r="F107" s="2" t="n">
        <v>37.5323</v>
      </c>
      <c r="G107" s="2" t="n">
        <v>126.957</v>
      </c>
      <c r="H107" s="2" t="s">
        <v>328</v>
      </c>
      <c r="I107" s="2" t="n">
        <v>2024</v>
      </c>
      <c r="J107" s="2" t="n">
        <v>2.32174328643542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customFormat="false" ht="15" hidden="false" customHeight="false" outlineLevel="0" collapsed="false">
      <c r="A108" s="2" t="s">
        <v>329</v>
      </c>
      <c r="B108" s="2"/>
      <c r="C108" s="2" t="s">
        <v>25</v>
      </c>
      <c r="D108" s="2" t="s">
        <v>22</v>
      </c>
      <c r="E108" s="2" t="s">
        <v>330</v>
      </c>
      <c r="F108" s="2" t="n">
        <v>29.3721</v>
      </c>
      <c r="G108" s="2" t="n">
        <v>47.9824</v>
      </c>
      <c r="H108" s="2" t="s">
        <v>331</v>
      </c>
      <c r="I108" s="2" t="n">
        <v>2024</v>
      </c>
      <c r="J108" s="2" t="n">
        <v>2.89855072463762</v>
      </c>
      <c r="K108" s="2" t="n">
        <v>67.5</v>
      </c>
      <c r="L108" s="2" t="n">
        <v>27.8</v>
      </c>
      <c r="M108" s="2" t="n">
        <v>63.8</v>
      </c>
      <c r="N108" s="2" t="n">
        <v>65.2</v>
      </c>
      <c r="O108" s="2" t="n">
        <v>88.2</v>
      </c>
      <c r="P108" s="2"/>
      <c r="Q108" s="2"/>
      <c r="R108" s="2"/>
      <c r="S108" s="2" t="n">
        <v>680</v>
      </c>
      <c r="T108" s="2"/>
    </row>
    <row r="109" customFormat="false" ht="15" hidden="false" customHeight="false" outlineLevel="0" collapsed="false">
      <c r="A109" s="2" t="s">
        <v>332</v>
      </c>
      <c r="B109" s="2"/>
      <c r="C109" s="2" t="s">
        <v>51</v>
      </c>
      <c r="D109" s="2" t="s">
        <v>31</v>
      </c>
      <c r="E109" s="2" t="s">
        <v>333</v>
      </c>
      <c r="F109" s="2" t="n">
        <v>18.5826</v>
      </c>
      <c r="G109" s="2" t="n">
        <v>102.177</v>
      </c>
      <c r="H109" s="2" t="s">
        <v>334</v>
      </c>
      <c r="I109" s="2" t="n">
        <v>2024</v>
      </c>
      <c r="J109" s="2" t="n">
        <v>23.1305695942588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customFormat="false" ht="15" hidden="false" customHeight="false" outlineLevel="0" collapsed="false">
      <c r="A110" s="2" t="s">
        <v>335</v>
      </c>
      <c r="B110" s="2"/>
      <c r="C110" s="2" t="s">
        <v>25</v>
      </c>
      <c r="D110" s="2" t="s">
        <v>31</v>
      </c>
      <c r="E110" s="2" t="s">
        <v>336</v>
      </c>
      <c r="F110" s="2" t="n">
        <v>33.8872</v>
      </c>
      <c r="G110" s="2" t="n">
        <v>35.5134</v>
      </c>
      <c r="H110" s="2" t="s">
        <v>337</v>
      </c>
      <c r="I110" s="2" t="n">
        <v>2024</v>
      </c>
      <c r="J110" s="2" t="n">
        <v>45.2430422716718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customFormat="false" ht="15" hidden="false" customHeight="false" outlineLevel="0" collapsed="false">
      <c r="A111" s="2" t="s">
        <v>338</v>
      </c>
      <c r="B111" s="2"/>
      <c r="C111" s="2" t="s">
        <v>30</v>
      </c>
      <c r="D111" s="2" t="s">
        <v>26</v>
      </c>
      <c r="E111" s="2" t="s">
        <v>339</v>
      </c>
      <c r="F111" s="2" t="n">
        <v>6.30039</v>
      </c>
      <c r="G111" s="2" t="n">
        <v>-10.7957</v>
      </c>
      <c r="H111" s="2" t="s">
        <v>340</v>
      </c>
      <c r="I111" s="2" t="n">
        <v>2024</v>
      </c>
      <c r="J111" s="2" t="n">
        <v>8.21497439118964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customFormat="false" ht="15" hidden="false" customHeight="false" outlineLevel="0" collapsed="false">
      <c r="A112" s="2" t="s">
        <v>341</v>
      </c>
      <c r="B112" s="2"/>
      <c r="C112" s="2" t="s">
        <v>25</v>
      </c>
      <c r="D112" s="2" t="s">
        <v>36</v>
      </c>
      <c r="E112" s="2" t="s">
        <v>342</v>
      </c>
      <c r="F112" s="2" t="n">
        <v>32.8578</v>
      </c>
      <c r="G112" s="2" t="n">
        <v>13.1072</v>
      </c>
      <c r="H112" s="2" t="s">
        <v>343</v>
      </c>
      <c r="I112" s="2" t="n">
        <v>2024</v>
      </c>
      <c r="J112" s="2" t="n">
        <v>2.12615766885021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customFormat="false" ht="15" hidden="false" customHeight="false" outlineLevel="0" collapsed="false">
      <c r="A113" s="2" t="s">
        <v>344</v>
      </c>
      <c r="B113" s="2"/>
      <c r="C113" s="2" t="s">
        <v>21</v>
      </c>
      <c r="D113" s="2" t="s">
        <v>36</v>
      </c>
      <c r="E113" s="2" t="s">
        <v>345</v>
      </c>
      <c r="F113" s="2" t="n">
        <v>14</v>
      </c>
      <c r="G113" s="2" t="n">
        <v>-60.9832</v>
      </c>
      <c r="H113" s="2" t="s">
        <v>346</v>
      </c>
      <c r="I113" s="2" t="n">
        <v>2024</v>
      </c>
      <c r="J113" s="2" t="n">
        <v>-0.674240853418779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customFormat="false" ht="15" hidden="false" customHeight="false" outlineLevel="0" collapsed="false">
      <c r="A114" s="2" t="s">
        <v>347</v>
      </c>
      <c r="B114" s="2"/>
      <c r="C114" s="2" t="s">
        <v>35</v>
      </c>
      <c r="D114" s="2" t="s">
        <v>22</v>
      </c>
      <c r="E114" s="2" t="s">
        <v>348</v>
      </c>
      <c r="F114" s="2" t="n">
        <v>47.1411</v>
      </c>
      <c r="G114" s="2" t="n">
        <v>9.52148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customFormat="false" ht="15" hidden="false" customHeight="false" outlineLevel="0" collapsed="false">
      <c r="A115" s="2" t="s">
        <v>349</v>
      </c>
      <c r="B115" s="2"/>
      <c r="C115" s="2" t="s">
        <v>78</v>
      </c>
      <c r="D115" s="2" t="s">
        <v>36</v>
      </c>
      <c r="E115" s="2" t="s">
        <v>350</v>
      </c>
      <c r="F115" s="2" t="n">
        <v>6.92148</v>
      </c>
      <c r="G115" s="2" t="n">
        <v>79.8528</v>
      </c>
      <c r="H115" s="2" t="s">
        <v>351</v>
      </c>
      <c r="I115" s="2" t="n">
        <v>2024</v>
      </c>
      <c r="J115" s="2" t="n">
        <v>-0.42936004906973</v>
      </c>
      <c r="K115" s="2" t="n">
        <v>53.8</v>
      </c>
      <c r="L115" s="2" t="n">
        <v>17.2</v>
      </c>
      <c r="M115" s="2" t="n">
        <v>50.8</v>
      </c>
      <c r="N115" s="2" t="n">
        <v>51.5</v>
      </c>
      <c r="O115" s="2" t="n">
        <v>70.2</v>
      </c>
      <c r="P115" s="2"/>
      <c r="Q115" s="2" t="n">
        <v>0.27</v>
      </c>
      <c r="R115" s="2" t="n">
        <v>9.93</v>
      </c>
      <c r="S115" s="2" t="n">
        <v>200</v>
      </c>
      <c r="T115" s="2"/>
    </row>
    <row r="116" customFormat="false" ht="15" hidden="false" customHeight="false" outlineLevel="0" collapsed="false">
      <c r="A116" s="2" t="s">
        <v>352</v>
      </c>
      <c r="B116" s="2"/>
      <c r="C116" s="2" t="s">
        <v>30</v>
      </c>
      <c r="D116" s="2" t="s">
        <v>31</v>
      </c>
      <c r="E116" s="2" t="s">
        <v>353</v>
      </c>
      <c r="F116" s="2" t="n">
        <v>-29.5208</v>
      </c>
      <c r="G116" s="2" t="n">
        <v>27.7167</v>
      </c>
      <c r="H116" s="2" t="s">
        <v>354</v>
      </c>
      <c r="I116" s="2" t="n">
        <v>2024</v>
      </c>
      <c r="J116" s="2" t="n">
        <v>6.10544624245032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customFormat="false" ht="15" hidden="false" customHeight="false" outlineLevel="0" collapsed="false">
      <c r="A117" s="2" t="s">
        <v>355</v>
      </c>
      <c r="B117" s="2"/>
      <c r="C117" s="2" t="s">
        <v>35</v>
      </c>
      <c r="D117" s="2" t="s">
        <v>22</v>
      </c>
      <c r="E117" s="2" t="s">
        <v>356</v>
      </c>
      <c r="F117" s="2" t="n">
        <v>54.6896</v>
      </c>
      <c r="G117" s="2" t="n">
        <v>25.2799</v>
      </c>
      <c r="H117" s="2" t="s">
        <v>357</v>
      </c>
      <c r="I117" s="2" t="n">
        <v>2024</v>
      </c>
      <c r="J117" s="2" t="n">
        <v>0.715735835228723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customFormat="false" ht="15" hidden="false" customHeight="false" outlineLevel="0" collapsed="false">
      <c r="A118" s="2" t="s">
        <v>358</v>
      </c>
      <c r="B118" s="2"/>
      <c r="C118" s="2" t="s">
        <v>35</v>
      </c>
      <c r="D118" s="2" t="s">
        <v>22</v>
      </c>
      <c r="E118" s="2" t="s">
        <v>358</v>
      </c>
      <c r="F118" s="2" t="n">
        <v>49.61</v>
      </c>
      <c r="G118" s="2" t="n">
        <v>6.1296</v>
      </c>
      <c r="H118" s="2" t="s">
        <v>359</v>
      </c>
      <c r="I118" s="2" t="n">
        <v>2024</v>
      </c>
      <c r="J118" s="2" t="n">
        <v>2.05113269954859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customFormat="false" ht="15" hidden="false" customHeight="false" outlineLevel="0" collapsed="false">
      <c r="A119" s="2" t="s">
        <v>360</v>
      </c>
      <c r="B119" s="2"/>
      <c r="C119" s="2" t="s">
        <v>35</v>
      </c>
      <c r="D119" s="2" t="s">
        <v>22</v>
      </c>
      <c r="E119" s="2" t="s">
        <v>361</v>
      </c>
      <c r="F119" s="2" t="n">
        <v>56.9465</v>
      </c>
      <c r="G119" s="2" t="n">
        <v>24.1048</v>
      </c>
      <c r="H119" s="2" t="s">
        <v>362</v>
      </c>
      <c r="I119" s="2" t="n">
        <v>2024</v>
      </c>
      <c r="J119" s="2" t="n">
        <v>1.26579885828729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customFormat="false" ht="15" hidden="false" customHeight="false" outlineLevel="0" collapsed="false">
      <c r="A120" s="2" t="s">
        <v>363</v>
      </c>
      <c r="B120" s="2"/>
      <c r="C120" s="2" t="s">
        <v>51</v>
      </c>
      <c r="D120" s="2" t="s">
        <v>22</v>
      </c>
      <c r="E120" s="2"/>
      <c r="F120" s="2" t="n">
        <v>22.1667</v>
      </c>
      <c r="G120" s="2" t="n">
        <v>113.55</v>
      </c>
      <c r="H120" s="2" t="s">
        <v>364</v>
      </c>
      <c r="I120" s="2" t="n">
        <v>2024</v>
      </c>
      <c r="J120" s="2" t="n">
        <v>0.672498598854365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customFormat="false" ht="15" hidden="false" customHeight="false" outlineLevel="0" collapsed="false">
      <c r="A121" s="2" t="s">
        <v>365</v>
      </c>
      <c r="B121" s="2"/>
      <c r="C121" s="2" t="s">
        <v>21</v>
      </c>
      <c r="D121" s="2" t="s">
        <v>22</v>
      </c>
      <c r="E121" s="2" t="s">
        <v>366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customFormat="false" ht="15" hidden="false" customHeight="false" outlineLevel="0" collapsed="false">
      <c r="A122" s="2" t="s">
        <v>367</v>
      </c>
      <c r="B122" s="2"/>
      <c r="C122" s="2" t="s">
        <v>25</v>
      </c>
      <c r="D122" s="2" t="s">
        <v>31</v>
      </c>
      <c r="E122" s="2" t="s">
        <v>368</v>
      </c>
      <c r="F122" s="2" t="n">
        <v>33.9905</v>
      </c>
      <c r="G122" s="2" t="n">
        <v>-6.8704</v>
      </c>
      <c r="H122" s="2" t="s">
        <v>369</v>
      </c>
      <c r="I122" s="2" t="n">
        <v>2024</v>
      </c>
      <c r="J122" s="2" t="n">
        <v>0.985256592004507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customFormat="false" ht="15" hidden="false" customHeight="false" outlineLevel="0" collapsed="false">
      <c r="A123" s="2" t="s">
        <v>370</v>
      </c>
      <c r="B123" s="2"/>
      <c r="C123" s="2" t="s">
        <v>35</v>
      </c>
      <c r="D123" s="2" t="s">
        <v>22</v>
      </c>
      <c r="E123" s="2" t="s">
        <v>370</v>
      </c>
      <c r="F123" s="2" t="n">
        <v>43.7325</v>
      </c>
      <c r="G123" s="2" t="n">
        <v>7.41891</v>
      </c>
      <c r="H123" s="2"/>
      <c r="I123" s="2"/>
      <c r="J123" s="2"/>
      <c r="K123" s="2"/>
      <c r="L123" s="2"/>
      <c r="M123" s="2"/>
      <c r="N123" s="2"/>
      <c r="O123" s="2"/>
      <c r="P123" s="2" t="n">
        <v>5.37</v>
      </c>
      <c r="Q123" s="2"/>
      <c r="R123" s="2"/>
      <c r="S123" s="2"/>
      <c r="T123" s="2"/>
    </row>
    <row r="124" customFormat="false" ht="15" hidden="false" customHeight="false" outlineLevel="0" collapsed="false">
      <c r="A124" s="2" t="s">
        <v>371</v>
      </c>
      <c r="B124" s="2"/>
      <c r="C124" s="2" t="s">
        <v>35</v>
      </c>
      <c r="D124" s="2" t="s">
        <v>36</v>
      </c>
      <c r="E124" s="2" t="s">
        <v>372</v>
      </c>
      <c r="F124" s="2" t="n">
        <v>47.0167</v>
      </c>
      <c r="G124" s="2" t="n">
        <v>28.8497</v>
      </c>
      <c r="H124" s="2" t="s">
        <v>373</v>
      </c>
      <c r="I124" s="2" t="n">
        <v>2024</v>
      </c>
      <c r="J124" s="2" t="n">
        <v>4.67773516007048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customFormat="false" ht="15" hidden="false" customHeight="false" outlineLevel="0" collapsed="false">
      <c r="A125" s="2" t="s">
        <v>374</v>
      </c>
      <c r="B125" s="2"/>
      <c r="C125" s="2" t="s">
        <v>30</v>
      </c>
      <c r="D125" s="2" t="s">
        <v>26</v>
      </c>
      <c r="E125" s="2" t="s">
        <v>375</v>
      </c>
      <c r="F125" s="2" t="n">
        <v>-20.4667</v>
      </c>
      <c r="G125" s="2" t="n">
        <v>45.7167</v>
      </c>
      <c r="H125" s="2" t="s">
        <v>376</v>
      </c>
      <c r="I125" s="2" t="n">
        <v>2024</v>
      </c>
      <c r="J125" s="2" t="n">
        <v>7.61335784313723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customFormat="false" ht="15" hidden="false" customHeight="false" outlineLevel="0" collapsed="false">
      <c r="A126" s="2" t="s">
        <v>377</v>
      </c>
      <c r="B126" s="2"/>
      <c r="C126" s="2" t="s">
        <v>78</v>
      </c>
      <c r="D126" s="2" t="s">
        <v>36</v>
      </c>
      <c r="E126" s="2" t="s">
        <v>378</v>
      </c>
      <c r="F126" s="2" t="n">
        <v>4.1742</v>
      </c>
      <c r="G126" s="2" t="n">
        <v>73.5109</v>
      </c>
      <c r="H126" s="2" t="s">
        <v>379</v>
      </c>
      <c r="I126" s="2" t="n">
        <v>2024</v>
      </c>
      <c r="J126" s="2" t="n">
        <v>1.41093527910134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customFormat="false" ht="15" hidden="false" customHeight="false" outlineLevel="0" collapsed="false">
      <c r="A127" s="2" t="s">
        <v>380</v>
      </c>
      <c r="B127" s="2"/>
      <c r="C127" s="2" t="s">
        <v>21</v>
      </c>
      <c r="D127" s="2" t="s">
        <v>36</v>
      </c>
      <c r="E127" s="2" t="s">
        <v>381</v>
      </c>
      <c r="F127" s="2" t="n">
        <v>19.427</v>
      </c>
      <c r="G127" s="2" t="n">
        <v>-99.1276</v>
      </c>
      <c r="H127" s="2" t="s">
        <v>382</v>
      </c>
      <c r="I127" s="2" t="n">
        <v>2024</v>
      </c>
      <c r="J127" s="2" t="n">
        <v>4.72225588452932</v>
      </c>
      <c r="K127" s="2" t="n">
        <v>52.8</v>
      </c>
      <c r="L127" s="2" t="n">
        <v>16.8</v>
      </c>
      <c r="M127" s="2" t="n">
        <v>50.1</v>
      </c>
      <c r="N127" s="2" t="n">
        <v>51.2</v>
      </c>
      <c r="O127" s="2" t="n">
        <v>69.8</v>
      </c>
      <c r="P127" s="2" t="n">
        <v>1.98</v>
      </c>
      <c r="Q127" s="2" t="n">
        <v>3.05</v>
      </c>
      <c r="R127" s="2" t="n">
        <v>58.2</v>
      </c>
      <c r="S127" s="2" t="n">
        <v>350</v>
      </c>
      <c r="T127" s="2" t="n">
        <v>55</v>
      </c>
    </row>
    <row r="128" customFormat="false" ht="15" hidden="false" customHeight="false" outlineLevel="0" collapsed="false">
      <c r="A128" s="2" t="s">
        <v>383</v>
      </c>
      <c r="B128" s="2"/>
      <c r="C128" s="2" t="s">
        <v>51</v>
      </c>
      <c r="D128" s="2" t="s">
        <v>36</v>
      </c>
      <c r="E128" s="2" t="s">
        <v>384</v>
      </c>
      <c r="F128" s="2" t="n">
        <v>7.11046</v>
      </c>
      <c r="G128" s="2" t="n">
        <v>171.135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customFormat="false" ht="15" hidden="false" customHeight="false" outlineLevel="0" collapsed="false">
      <c r="A129" s="2" t="s">
        <v>385</v>
      </c>
      <c r="B129" s="2"/>
      <c r="C129" s="2" t="s">
        <v>35</v>
      </c>
      <c r="D129" s="2" t="s">
        <v>36</v>
      </c>
      <c r="E129" s="2" t="s">
        <v>386</v>
      </c>
      <c r="F129" s="2" t="n">
        <v>42.0024</v>
      </c>
      <c r="G129" s="2" t="n">
        <v>21.4361</v>
      </c>
      <c r="H129" s="2" t="s">
        <v>387</v>
      </c>
      <c r="I129" s="2" t="n">
        <v>2024</v>
      </c>
      <c r="J129" s="2" t="n">
        <v>3.48974086026954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customFormat="false" ht="15" hidden="false" customHeight="false" outlineLevel="0" collapsed="false">
      <c r="A130" s="2" t="s">
        <v>388</v>
      </c>
      <c r="B130" s="2"/>
      <c r="C130" s="2" t="s">
        <v>30</v>
      </c>
      <c r="D130" s="2" t="s">
        <v>26</v>
      </c>
      <c r="E130" s="2" t="s">
        <v>389</v>
      </c>
      <c r="F130" s="2" t="n">
        <v>13.5667</v>
      </c>
      <c r="G130" s="2" t="n">
        <v>-7.50034</v>
      </c>
      <c r="H130" s="2" t="s">
        <v>390</v>
      </c>
      <c r="I130" s="2" t="n">
        <v>2024</v>
      </c>
      <c r="J130" s="2" t="n">
        <v>3.2063986409966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customFormat="false" ht="15" hidden="false" customHeight="false" outlineLevel="0" collapsed="false">
      <c r="A131" s="2" t="s">
        <v>391</v>
      </c>
      <c r="B131" s="2"/>
      <c r="C131" s="2" t="s">
        <v>25</v>
      </c>
      <c r="D131" s="2" t="s">
        <v>22</v>
      </c>
      <c r="E131" s="2" t="s">
        <v>392</v>
      </c>
      <c r="F131" s="2" t="n">
        <v>35.9042</v>
      </c>
      <c r="G131" s="2" t="n">
        <v>14.5189</v>
      </c>
      <c r="H131" s="2" t="s">
        <v>393</v>
      </c>
      <c r="I131" s="2" t="n">
        <v>2024</v>
      </c>
      <c r="J131" s="2" t="n">
        <v>1.65079469283109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customFormat="false" ht="15" hidden="false" customHeight="false" outlineLevel="0" collapsed="false">
      <c r="A132" s="2" t="s">
        <v>394</v>
      </c>
      <c r="B132" s="2"/>
      <c r="C132" s="2" t="s">
        <v>51</v>
      </c>
      <c r="D132" s="2" t="s">
        <v>31</v>
      </c>
      <c r="E132" s="2" t="s">
        <v>395</v>
      </c>
      <c r="F132" s="2" t="n">
        <v>21.914</v>
      </c>
      <c r="G132" s="2" t="n">
        <v>95.9562</v>
      </c>
      <c r="H132" s="2"/>
      <c r="I132" s="2"/>
      <c r="J132" s="2"/>
      <c r="K132" s="2" t="n">
        <v>48.8</v>
      </c>
      <c r="L132" s="2" t="n">
        <v>13.2</v>
      </c>
      <c r="M132" s="2" t="n">
        <v>46.8</v>
      </c>
      <c r="N132" s="2" t="n">
        <v>46.9</v>
      </c>
      <c r="O132" s="2" t="n">
        <v>62.8</v>
      </c>
      <c r="P132" s="2"/>
      <c r="Q132" s="2"/>
      <c r="R132" s="2"/>
      <c r="S132" s="2" t="n">
        <v>140</v>
      </c>
      <c r="T132" s="2"/>
    </row>
    <row r="133" customFormat="false" ht="15" hidden="false" customHeight="false" outlineLevel="0" collapsed="false">
      <c r="A133" s="2" t="s">
        <v>396</v>
      </c>
      <c r="B133" s="2"/>
      <c r="C133" s="2" t="s">
        <v>35</v>
      </c>
      <c r="D133" s="2" t="s">
        <v>36</v>
      </c>
      <c r="E133" s="2" t="s">
        <v>397</v>
      </c>
      <c r="F133" s="2" t="n">
        <v>42.4602</v>
      </c>
      <c r="G133" s="2" t="n">
        <v>19.2595</v>
      </c>
      <c r="H133" s="2" t="s">
        <v>398</v>
      </c>
      <c r="I133" s="2" t="n">
        <v>2024</v>
      </c>
      <c r="J133" s="2" t="n">
        <v>3.33675009282281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customFormat="false" ht="15" hidden="false" customHeight="false" outlineLevel="0" collapsed="false">
      <c r="A134" s="2" t="s">
        <v>399</v>
      </c>
      <c r="B134" s="2"/>
      <c r="C134" s="2" t="s">
        <v>51</v>
      </c>
      <c r="D134" s="2" t="s">
        <v>36</v>
      </c>
      <c r="E134" s="2" t="s">
        <v>400</v>
      </c>
      <c r="F134" s="2" t="n">
        <v>47.9129</v>
      </c>
      <c r="G134" s="2" t="n">
        <v>106.937</v>
      </c>
      <c r="H134" s="2" t="s">
        <v>401</v>
      </c>
      <c r="I134" s="2" t="n">
        <v>2024</v>
      </c>
      <c r="J134" s="2" t="n">
        <v>6.1977990165842</v>
      </c>
      <c r="K134" s="2" t="n">
        <v>47.5</v>
      </c>
      <c r="L134" s="2" t="n">
        <v>12.5</v>
      </c>
      <c r="M134" s="2" t="n">
        <v>45.5</v>
      </c>
      <c r="N134" s="2" t="n">
        <v>45.8</v>
      </c>
      <c r="O134" s="2" t="n">
        <v>60.5</v>
      </c>
      <c r="P134" s="2"/>
      <c r="Q134" s="2"/>
      <c r="R134" s="2"/>
      <c r="S134" s="2"/>
      <c r="T134" s="2"/>
    </row>
    <row r="135" customFormat="false" ht="15" hidden="false" customHeight="false" outlineLevel="0" collapsed="false">
      <c r="A135" s="2" t="s">
        <v>402</v>
      </c>
      <c r="B135" s="2"/>
      <c r="C135" s="2" t="s">
        <v>51</v>
      </c>
      <c r="D135" s="2" t="s">
        <v>22</v>
      </c>
      <c r="E135" s="2" t="s">
        <v>403</v>
      </c>
      <c r="F135" s="2" t="n">
        <v>15.1935</v>
      </c>
      <c r="G135" s="2" t="n">
        <v>145.765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customFormat="false" ht="15" hidden="false" customHeight="false" outlineLevel="0" collapsed="false">
      <c r="A136" s="2" t="s">
        <v>404</v>
      </c>
      <c r="B136" s="2"/>
      <c r="C136" s="2" t="s">
        <v>30</v>
      </c>
      <c r="D136" s="2" t="s">
        <v>26</v>
      </c>
      <c r="E136" s="2" t="s">
        <v>405</v>
      </c>
      <c r="F136" s="2" t="n">
        <v>-25.9664</v>
      </c>
      <c r="G136" s="2" t="n">
        <v>32.5713</v>
      </c>
      <c r="H136" s="2" t="s">
        <v>406</v>
      </c>
      <c r="I136" s="2" t="n">
        <v>2024</v>
      </c>
      <c r="J136" s="2" t="n">
        <v>4.07856834812022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customFormat="false" ht="15" hidden="false" customHeight="false" outlineLevel="0" collapsed="false">
      <c r="A137" s="2" t="s">
        <v>407</v>
      </c>
      <c r="B137" s="2"/>
      <c r="C137" s="2" t="s">
        <v>30</v>
      </c>
      <c r="D137" s="2" t="s">
        <v>31</v>
      </c>
      <c r="E137" s="2" t="s">
        <v>408</v>
      </c>
      <c r="F137" s="2" t="n">
        <v>18.2367</v>
      </c>
      <c r="G137" s="2" t="n">
        <v>-15.9824</v>
      </c>
      <c r="H137" s="2" t="s">
        <v>409</v>
      </c>
      <c r="I137" s="2" t="n">
        <v>2024</v>
      </c>
      <c r="J137" s="2" t="n">
        <v>2.49164347481972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customFormat="false" ht="15" hidden="false" customHeight="false" outlineLevel="0" collapsed="false">
      <c r="A138" s="2" t="s">
        <v>410</v>
      </c>
      <c r="B138" s="2"/>
      <c r="C138" s="2" t="s">
        <v>30</v>
      </c>
      <c r="D138" s="2" t="s">
        <v>36</v>
      </c>
      <c r="E138" s="2" t="s">
        <v>411</v>
      </c>
      <c r="F138" s="2" t="n">
        <v>-20.1605</v>
      </c>
      <c r="G138" s="2" t="n">
        <v>57.4977</v>
      </c>
      <c r="H138" s="2" t="s">
        <v>412</v>
      </c>
      <c r="I138" s="2" t="n">
        <v>2024</v>
      </c>
      <c r="J138" s="2" t="n">
        <v>3.6045220384796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customFormat="false" ht="15" hidden="false" customHeight="false" outlineLevel="0" collapsed="false">
      <c r="A139" s="2" t="s">
        <v>413</v>
      </c>
      <c r="B139" s="2"/>
      <c r="C139" s="2" t="s">
        <v>30</v>
      </c>
      <c r="D139" s="2" t="s">
        <v>26</v>
      </c>
      <c r="E139" s="2" t="s">
        <v>414</v>
      </c>
      <c r="F139" s="2" t="n">
        <v>-13.9899</v>
      </c>
      <c r="G139" s="2" t="n">
        <v>33.7703</v>
      </c>
      <c r="H139" s="2" t="s">
        <v>415</v>
      </c>
      <c r="I139" s="2" t="n">
        <v>2024</v>
      </c>
      <c r="J139" s="2" t="n">
        <v>32.1796504225025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customFormat="false" ht="15" hidden="false" customHeight="false" outlineLevel="0" collapsed="false">
      <c r="A140" s="2" t="s">
        <v>416</v>
      </c>
      <c r="B140" s="2"/>
      <c r="C140" s="2" t="s">
        <v>51</v>
      </c>
      <c r="D140" s="2" t="s">
        <v>36</v>
      </c>
      <c r="E140" s="2" t="s">
        <v>417</v>
      </c>
      <c r="F140" s="2" t="n">
        <v>3.12433</v>
      </c>
      <c r="G140" s="2" t="n">
        <v>101.684</v>
      </c>
      <c r="H140" s="2" t="s">
        <v>418</v>
      </c>
      <c r="I140" s="2" t="n">
        <v>2024</v>
      </c>
      <c r="J140" s="2" t="n">
        <v>1.834100204499</v>
      </c>
      <c r="K140" s="2" t="n">
        <v>56.8</v>
      </c>
      <c r="L140" s="2" t="n">
        <v>19.5</v>
      </c>
      <c r="M140" s="2" t="n">
        <v>53.8</v>
      </c>
      <c r="N140" s="2" t="n">
        <v>54.8</v>
      </c>
      <c r="O140" s="2" t="n">
        <v>75.2</v>
      </c>
      <c r="P140" s="2"/>
      <c r="Q140" s="2"/>
      <c r="R140" s="2"/>
      <c r="S140" s="2" t="n">
        <v>380</v>
      </c>
      <c r="T140" s="2"/>
    </row>
    <row r="141" customFormat="false" ht="15" hidden="false" customHeight="false" outlineLevel="0" collapsed="false">
      <c r="A141" s="2" t="s">
        <v>419</v>
      </c>
      <c r="B141" s="2"/>
      <c r="C141" s="2" t="s">
        <v>30</v>
      </c>
      <c r="D141" s="2" t="s">
        <v>31</v>
      </c>
      <c r="E141" s="2" t="s">
        <v>420</v>
      </c>
      <c r="F141" s="2" t="n">
        <v>-22.5648</v>
      </c>
      <c r="G141" s="2" t="n">
        <v>17.0931</v>
      </c>
      <c r="H141" s="2" t="s">
        <v>421</v>
      </c>
      <c r="I141" s="2" t="n">
        <v>2024</v>
      </c>
      <c r="J141" s="2" t="n">
        <v>4.23903922877036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customFormat="false" ht="15" hidden="false" customHeight="false" outlineLevel="0" collapsed="false">
      <c r="A142" s="2" t="s">
        <v>422</v>
      </c>
      <c r="B142" s="2"/>
      <c r="C142" s="2" t="s">
        <v>51</v>
      </c>
      <c r="D142" s="2" t="s">
        <v>22</v>
      </c>
      <c r="E142" s="2" t="s">
        <v>423</v>
      </c>
      <c r="F142" s="2" t="n">
        <v>-22.2677</v>
      </c>
      <c r="G142" s="2" t="n">
        <v>166.464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customFormat="false" ht="15" hidden="false" customHeight="false" outlineLevel="0" collapsed="false">
      <c r="A143" s="2" t="s">
        <v>424</v>
      </c>
      <c r="B143" s="2"/>
      <c r="C143" s="2" t="s">
        <v>30</v>
      </c>
      <c r="D143" s="2" t="s">
        <v>26</v>
      </c>
      <c r="E143" s="2" t="s">
        <v>425</v>
      </c>
      <c r="F143" s="2" t="n">
        <v>13.514</v>
      </c>
      <c r="G143" s="2" t="n">
        <v>2.1073</v>
      </c>
      <c r="H143" s="2" t="s">
        <v>426</v>
      </c>
      <c r="I143" s="2" t="n">
        <v>2024</v>
      </c>
      <c r="J143" s="2" t="n">
        <v>9.07151997725013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customFormat="false" ht="15" hidden="false" customHeight="false" outlineLevel="0" collapsed="false">
      <c r="A144" s="2" t="s">
        <v>427</v>
      </c>
      <c r="B144" s="2"/>
      <c r="C144" s="2" t="s">
        <v>30</v>
      </c>
      <c r="D144" s="2" t="s">
        <v>31</v>
      </c>
      <c r="E144" s="2" t="s">
        <v>428</v>
      </c>
      <c r="F144" s="2" t="n">
        <v>9.05804</v>
      </c>
      <c r="G144" s="2" t="n">
        <v>7.48906</v>
      </c>
      <c r="H144" s="2" t="s">
        <v>429</v>
      </c>
      <c r="I144" s="2" t="n">
        <v>2024</v>
      </c>
      <c r="J144" s="2" t="n">
        <v>33.2416590552749</v>
      </c>
      <c r="K144" s="2" t="n">
        <v>40.8</v>
      </c>
      <c r="L144" s="2" t="n">
        <v>9.5</v>
      </c>
      <c r="M144" s="2" t="n">
        <v>39.2</v>
      </c>
      <c r="N144" s="2" t="n">
        <v>39.5</v>
      </c>
      <c r="O144" s="2" t="n">
        <v>52.5</v>
      </c>
      <c r="P144" s="2" t="n">
        <v>1.05</v>
      </c>
      <c r="Q144" s="2" t="n">
        <v>1.32</v>
      </c>
      <c r="R144" s="2" t="n">
        <v>16.2</v>
      </c>
      <c r="S144" s="2" t="n">
        <v>180</v>
      </c>
      <c r="T144" s="2" t="n">
        <v>40</v>
      </c>
    </row>
    <row r="145" customFormat="false" ht="15" hidden="false" customHeight="false" outlineLevel="0" collapsed="false">
      <c r="A145" s="2" t="s">
        <v>430</v>
      </c>
      <c r="B145" s="2"/>
      <c r="C145" s="2" t="s">
        <v>21</v>
      </c>
      <c r="D145" s="2" t="s">
        <v>31</v>
      </c>
      <c r="E145" s="2" t="s">
        <v>431</v>
      </c>
      <c r="F145" s="2" t="n">
        <v>12.1475</v>
      </c>
      <c r="G145" s="2" t="n">
        <v>-86.2734</v>
      </c>
      <c r="H145" s="2" t="s">
        <v>432</v>
      </c>
      <c r="I145" s="2" t="n">
        <v>2024</v>
      </c>
      <c r="J145" s="2" t="n">
        <v>4.62473841057141</v>
      </c>
      <c r="K145" s="2"/>
      <c r="L145" s="2"/>
      <c r="M145" s="2"/>
      <c r="N145" s="2"/>
      <c r="O145" s="2"/>
      <c r="P145" s="2"/>
      <c r="Q145" s="2" t="n">
        <v>0.21</v>
      </c>
      <c r="R145" s="2" t="n">
        <v>9.02</v>
      </c>
      <c r="S145" s="2"/>
      <c r="T145" s="2"/>
    </row>
    <row r="146" customFormat="false" ht="15" hidden="false" customHeight="false" outlineLevel="0" collapsed="false">
      <c r="A146" s="2" t="s">
        <v>433</v>
      </c>
      <c r="B146" s="2"/>
      <c r="C146" s="2" t="s">
        <v>35</v>
      </c>
      <c r="D146" s="2" t="s">
        <v>22</v>
      </c>
      <c r="E146" s="2" t="s">
        <v>434</v>
      </c>
      <c r="F146" s="2" t="n">
        <v>52.3738</v>
      </c>
      <c r="G146" s="2" t="n">
        <v>4.89095</v>
      </c>
      <c r="H146" s="2" t="s">
        <v>435</v>
      </c>
      <c r="I146" s="2" t="n">
        <v>2024</v>
      </c>
      <c r="J146" s="2" t="n">
        <v>3.34754304219953</v>
      </c>
      <c r="K146" s="2"/>
      <c r="L146" s="2"/>
      <c r="M146" s="2"/>
      <c r="N146" s="2"/>
      <c r="O146" s="2"/>
      <c r="P146" s="2"/>
      <c r="Q146" s="2" t="n">
        <v>5.67</v>
      </c>
      <c r="R146" s="2" t="n">
        <v>139.68</v>
      </c>
      <c r="S146" s="2"/>
      <c r="T146" s="2"/>
    </row>
    <row r="147" customFormat="false" ht="15" hidden="false" customHeight="false" outlineLevel="0" collapsed="false">
      <c r="A147" s="2" t="s">
        <v>436</v>
      </c>
      <c r="B147" s="2"/>
      <c r="C147" s="2" t="s">
        <v>35</v>
      </c>
      <c r="D147" s="2" t="s">
        <v>22</v>
      </c>
      <c r="E147" s="2" t="s">
        <v>437</v>
      </c>
      <c r="F147" s="2" t="n">
        <v>59.9138</v>
      </c>
      <c r="G147" s="2" t="n">
        <v>10.7387</v>
      </c>
      <c r="H147" s="2" t="s">
        <v>438</v>
      </c>
      <c r="I147" s="2" t="n">
        <v>2024</v>
      </c>
      <c r="J147" s="2" t="n">
        <v>3.14530134431081</v>
      </c>
      <c r="K147" s="2" t="n">
        <v>73.8</v>
      </c>
      <c r="L147" s="2" t="n">
        <v>38.9</v>
      </c>
      <c r="M147" s="2" t="n">
        <v>69.8</v>
      </c>
      <c r="N147" s="2" t="n">
        <v>78.5</v>
      </c>
      <c r="O147" s="2" t="n">
        <v>105.3</v>
      </c>
      <c r="P147" s="2" t="n">
        <v>3.52</v>
      </c>
      <c r="Q147" s="2" t="n">
        <v>6.54</v>
      </c>
      <c r="R147" s="2" t="n">
        <v>145.2</v>
      </c>
      <c r="S147" s="2"/>
      <c r="T147" s="2"/>
    </row>
    <row r="148" customFormat="false" ht="15" hidden="false" customHeight="false" outlineLevel="0" collapsed="false">
      <c r="A148" s="2" t="s">
        <v>439</v>
      </c>
      <c r="B148" s="2"/>
      <c r="C148" s="2" t="s">
        <v>78</v>
      </c>
      <c r="D148" s="2" t="s">
        <v>31</v>
      </c>
      <c r="E148" s="2" t="s">
        <v>440</v>
      </c>
      <c r="F148" s="2" t="n">
        <v>27.6939</v>
      </c>
      <c r="G148" s="2" t="n">
        <v>85.3157</v>
      </c>
      <c r="H148" s="2" t="s">
        <v>441</v>
      </c>
      <c r="I148" s="2" t="n">
        <v>2024</v>
      </c>
      <c r="J148" s="2" t="n">
        <v>4.6850965426577</v>
      </c>
      <c r="K148" s="2" t="n">
        <v>51.5</v>
      </c>
      <c r="L148" s="2" t="n">
        <v>15.8</v>
      </c>
      <c r="M148" s="2" t="n">
        <v>49.2</v>
      </c>
      <c r="N148" s="2" t="n">
        <v>49.8</v>
      </c>
      <c r="O148" s="2" t="n">
        <v>67.8</v>
      </c>
      <c r="P148" s="2"/>
      <c r="Q148" s="2"/>
      <c r="R148" s="2"/>
      <c r="S148" s="2" t="n">
        <v>150</v>
      </c>
      <c r="T148" s="2"/>
    </row>
    <row r="149" customFormat="false" ht="15" hidden="false" customHeight="false" outlineLevel="0" collapsed="false">
      <c r="A149" s="2" t="s">
        <v>442</v>
      </c>
      <c r="B149" s="2"/>
      <c r="C149" s="2" t="s">
        <v>51</v>
      </c>
      <c r="D149" s="2" t="s">
        <v>22</v>
      </c>
      <c r="E149" s="2" t="s">
        <v>443</v>
      </c>
      <c r="F149" s="2" t="n">
        <v>-0.5477</v>
      </c>
      <c r="G149" s="2" t="n">
        <v>166.920867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customFormat="false" ht="15" hidden="false" customHeight="false" outlineLevel="0" collapsed="false">
      <c r="A150" s="2" t="s">
        <v>444</v>
      </c>
      <c r="B150" s="2"/>
      <c r="C150" s="2" t="s">
        <v>51</v>
      </c>
      <c r="D150" s="2" t="s">
        <v>22</v>
      </c>
      <c r="E150" s="2" t="s">
        <v>445</v>
      </c>
      <c r="F150" s="2" t="n">
        <v>-41.2865</v>
      </c>
      <c r="G150" s="2" t="n">
        <v>174.776</v>
      </c>
      <c r="H150" s="2" t="s">
        <v>446</v>
      </c>
      <c r="I150" s="2" t="n">
        <v>2024</v>
      </c>
      <c r="J150" s="2" t="n">
        <v>2.92279782301957</v>
      </c>
      <c r="K150" s="2" t="n">
        <v>66.2</v>
      </c>
      <c r="L150" s="2" t="n">
        <v>29.8</v>
      </c>
      <c r="M150" s="2" t="n">
        <v>62.8</v>
      </c>
      <c r="N150" s="2" t="n">
        <v>65.3</v>
      </c>
      <c r="O150" s="2" t="n">
        <v>88.5</v>
      </c>
      <c r="P150" s="2"/>
      <c r="Q150" s="2"/>
      <c r="R150" s="2"/>
      <c r="S150" s="2"/>
      <c r="T150" s="2"/>
    </row>
    <row r="151" customFormat="false" ht="15" hidden="false" customHeight="false" outlineLevel="0" collapsed="false">
      <c r="A151" s="2" t="s">
        <v>447</v>
      </c>
      <c r="B151" s="2"/>
      <c r="C151" s="2" t="s">
        <v>25</v>
      </c>
      <c r="D151" s="2" t="s">
        <v>22</v>
      </c>
      <c r="E151" s="2" t="s">
        <v>448</v>
      </c>
      <c r="F151" s="2" t="n">
        <v>23.6105</v>
      </c>
      <c r="G151" s="2" t="n">
        <v>58.5874</v>
      </c>
      <c r="H151" s="2" t="s">
        <v>449</v>
      </c>
      <c r="I151" s="2" t="n">
        <v>2024</v>
      </c>
      <c r="J151" s="2" t="n">
        <v>0.593589236248469</v>
      </c>
      <c r="K151" s="2" t="n">
        <v>64.8</v>
      </c>
      <c r="L151" s="2" t="n">
        <v>25.2</v>
      </c>
      <c r="M151" s="2" t="n">
        <v>61.2</v>
      </c>
      <c r="N151" s="2" t="n">
        <v>62.8</v>
      </c>
      <c r="O151" s="2" t="n">
        <v>85.6</v>
      </c>
      <c r="P151" s="2"/>
      <c r="Q151" s="2"/>
      <c r="R151" s="2"/>
      <c r="S151" s="2" t="n">
        <v>550</v>
      </c>
      <c r="T151" s="2"/>
    </row>
    <row r="152" customFormat="false" ht="15" hidden="false" customHeight="false" outlineLevel="0" collapsed="false">
      <c r="A152" s="2" t="s">
        <v>450</v>
      </c>
      <c r="B152" s="2"/>
      <c r="C152" s="2" t="s">
        <v>25</v>
      </c>
      <c r="D152" s="2" t="s">
        <v>31</v>
      </c>
      <c r="E152" s="2" t="s">
        <v>451</v>
      </c>
      <c r="F152" s="2" t="n">
        <v>30.5167</v>
      </c>
      <c r="G152" s="2" t="n">
        <v>72.8</v>
      </c>
      <c r="H152" s="2" t="s">
        <v>452</v>
      </c>
      <c r="I152" s="2" t="n">
        <v>2024</v>
      </c>
      <c r="J152" s="2" t="n">
        <v>12.6325318530452</v>
      </c>
      <c r="K152" s="2" t="n">
        <v>43.2</v>
      </c>
      <c r="L152" s="2" t="n">
        <v>10.8</v>
      </c>
      <c r="M152" s="2" t="n">
        <v>41.8</v>
      </c>
      <c r="N152" s="2" t="n">
        <v>41.9</v>
      </c>
      <c r="O152" s="2" t="n">
        <v>55.8</v>
      </c>
      <c r="P152" s="2" t="n">
        <v>1.18</v>
      </c>
      <c r="Q152" s="2" t="n">
        <v>1.52</v>
      </c>
      <c r="R152" s="2" t="n">
        <v>20.8</v>
      </c>
      <c r="S152" s="2" t="n">
        <v>120</v>
      </c>
      <c r="T152" s="2" t="n">
        <v>30</v>
      </c>
    </row>
    <row r="153" customFormat="false" ht="15" hidden="false" customHeight="false" outlineLevel="0" collapsed="false">
      <c r="A153" s="2" t="s">
        <v>453</v>
      </c>
      <c r="B153" s="2"/>
      <c r="C153" s="2" t="s">
        <v>21</v>
      </c>
      <c r="D153" s="2" t="s">
        <v>22</v>
      </c>
      <c r="E153" s="2" t="s">
        <v>454</v>
      </c>
      <c r="F153" s="2" t="n">
        <v>8.99427</v>
      </c>
      <c r="G153" s="2" t="n">
        <v>-79.5188</v>
      </c>
      <c r="H153" s="2" t="s">
        <v>455</v>
      </c>
      <c r="I153" s="2" t="n">
        <v>2024</v>
      </c>
      <c r="J153" s="2" t="n">
        <v>0.69322555100446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customFormat="false" ht="15" hidden="false" customHeight="false" outlineLevel="0" collapsed="false">
      <c r="A154" s="2" t="s">
        <v>456</v>
      </c>
      <c r="B154" s="2"/>
      <c r="C154" s="2" t="s">
        <v>21</v>
      </c>
      <c r="D154" s="2" t="s">
        <v>36</v>
      </c>
      <c r="E154" s="2" t="s">
        <v>457</v>
      </c>
      <c r="F154" s="2" t="n">
        <v>-12.0931</v>
      </c>
      <c r="G154" s="2" t="n">
        <v>-77.0465</v>
      </c>
      <c r="H154" s="2" t="s">
        <v>458</v>
      </c>
      <c r="I154" s="2" t="n">
        <v>2024</v>
      </c>
      <c r="J154" s="2" t="n">
        <v>2.00770739412712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customFormat="false" ht="15" hidden="false" customHeight="false" outlineLevel="0" collapsed="false">
      <c r="A155" s="2" t="s">
        <v>459</v>
      </c>
      <c r="B155" s="2"/>
      <c r="C155" s="2" t="s">
        <v>51</v>
      </c>
      <c r="D155" s="2" t="s">
        <v>36</v>
      </c>
      <c r="E155" s="2" t="s">
        <v>460</v>
      </c>
      <c r="F155" s="2" t="n">
        <v>14.5515</v>
      </c>
      <c r="G155" s="2" t="n">
        <v>121.035</v>
      </c>
      <c r="H155" s="2" t="s">
        <v>461</v>
      </c>
      <c r="I155" s="2" t="n">
        <v>2024</v>
      </c>
      <c r="J155" s="2" t="n">
        <v>3.21260487006347</v>
      </c>
      <c r="K155" s="2" t="n">
        <v>46.1</v>
      </c>
      <c r="L155" s="2" t="n">
        <v>12.2</v>
      </c>
      <c r="M155" s="2" t="n">
        <v>44.2</v>
      </c>
      <c r="N155" s="2" t="n">
        <v>44.5</v>
      </c>
      <c r="O155" s="2" t="n">
        <v>59.2</v>
      </c>
      <c r="P155" s="2" t="n">
        <v>1.38</v>
      </c>
      <c r="Q155" s="2" t="n">
        <v>1.92</v>
      </c>
      <c r="R155" s="2" t="n">
        <v>28.5</v>
      </c>
      <c r="S155" s="2" t="n">
        <v>280</v>
      </c>
      <c r="T155" s="2" t="n">
        <v>48</v>
      </c>
    </row>
    <row r="156" customFormat="false" ht="15" hidden="false" customHeight="false" outlineLevel="0" collapsed="false">
      <c r="A156" s="2" t="s">
        <v>462</v>
      </c>
      <c r="B156" s="2"/>
      <c r="C156" s="2" t="s">
        <v>51</v>
      </c>
      <c r="D156" s="2" t="s">
        <v>22</v>
      </c>
      <c r="E156" s="2" t="s">
        <v>463</v>
      </c>
      <c r="F156" s="2" t="n">
        <v>7.34194</v>
      </c>
      <c r="G156" s="2" t="n">
        <v>134.479</v>
      </c>
      <c r="H156" s="2" t="s">
        <v>464</v>
      </c>
      <c r="I156" s="2" t="n">
        <v>2024</v>
      </c>
      <c r="J156" s="2" t="n">
        <v>2.23172772921704</v>
      </c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customFormat="false" ht="15" hidden="false" customHeight="false" outlineLevel="0" collapsed="false">
      <c r="A157" s="2" t="s">
        <v>465</v>
      </c>
      <c r="B157" s="2"/>
      <c r="C157" s="2" t="s">
        <v>51</v>
      </c>
      <c r="D157" s="2" t="s">
        <v>31</v>
      </c>
      <c r="E157" s="2" t="s">
        <v>466</v>
      </c>
      <c r="F157" s="2" t="n">
        <v>-9.47357</v>
      </c>
      <c r="G157" s="2" t="n">
        <v>147.194</v>
      </c>
      <c r="H157" s="2" t="s">
        <v>467</v>
      </c>
      <c r="I157" s="2" t="n">
        <v>2024</v>
      </c>
      <c r="J157" s="2" t="n">
        <v>0.602403921107917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customFormat="false" ht="15" hidden="false" customHeight="false" outlineLevel="0" collapsed="false">
      <c r="A158" s="2" t="s">
        <v>468</v>
      </c>
      <c r="B158" s="2"/>
      <c r="C158" s="2" t="s">
        <v>35</v>
      </c>
      <c r="D158" s="2" t="s">
        <v>22</v>
      </c>
      <c r="E158" s="2" t="s">
        <v>469</v>
      </c>
      <c r="F158" s="2" t="n">
        <v>52.26</v>
      </c>
      <c r="G158" s="2" t="n">
        <v>21.02</v>
      </c>
      <c r="H158" s="2" t="s">
        <v>470</v>
      </c>
      <c r="I158" s="2" t="n">
        <v>2024</v>
      </c>
      <c r="J158" s="2" t="n">
        <v>3.79060897630197</v>
      </c>
      <c r="K158" s="2" t="n">
        <v>55.8</v>
      </c>
      <c r="L158" s="2" t="n">
        <v>18.6</v>
      </c>
      <c r="M158" s="2" t="n">
        <v>52.4</v>
      </c>
      <c r="N158" s="2" t="n">
        <v>53.8</v>
      </c>
      <c r="O158" s="2" t="n">
        <v>74.2</v>
      </c>
      <c r="P158" s="2" t="n">
        <v>2.25</v>
      </c>
      <c r="Q158" s="2" t="n">
        <v>3.45</v>
      </c>
      <c r="R158" s="2" t="n">
        <v>72.5</v>
      </c>
      <c r="S158" s="2" t="n">
        <v>450</v>
      </c>
      <c r="T158" s="2" t="n">
        <v>85</v>
      </c>
    </row>
    <row r="159" customFormat="false" ht="15" hidden="false" customHeight="false" outlineLevel="0" collapsed="false">
      <c r="A159" s="2" t="s">
        <v>471</v>
      </c>
      <c r="B159" s="2"/>
      <c r="C159" s="2" t="s">
        <v>21</v>
      </c>
      <c r="D159" s="2" t="s">
        <v>22</v>
      </c>
      <c r="E159" s="2" t="s">
        <v>472</v>
      </c>
      <c r="F159" s="2" t="n">
        <v>18.23</v>
      </c>
      <c r="G159" s="2" t="n">
        <v>-66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customFormat="false" ht="15" hidden="false" customHeight="false" outlineLevel="0" collapsed="false">
      <c r="A160" s="2" t="s">
        <v>473</v>
      </c>
      <c r="B160" s="2"/>
      <c r="C160" s="2" t="s">
        <v>51</v>
      </c>
      <c r="D160" s="2" t="s">
        <v>26</v>
      </c>
      <c r="E160" s="2" t="s">
        <v>474</v>
      </c>
      <c r="F160" s="2" t="n">
        <v>39.0319</v>
      </c>
      <c r="G160" s="2" t="n">
        <v>125.754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customFormat="false" ht="15" hidden="false" customHeight="false" outlineLevel="0" collapsed="false">
      <c r="A161" s="2" t="s">
        <v>475</v>
      </c>
      <c r="B161" s="2"/>
      <c r="C161" s="2" t="s">
        <v>35</v>
      </c>
      <c r="D161" s="2" t="s">
        <v>22</v>
      </c>
      <c r="E161" s="2" t="s">
        <v>476</v>
      </c>
      <c r="F161" s="2" t="n">
        <v>38.7072</v>
      </c>
      <c r="G161" s="2" t="n">
        <v>-9.13552</v>
      </c>
      <c r="H161" s="2" t="s">
        <v>477</v>
      </c>
      <c r="I161" s="2" t="n">
        <v>2024</v>
      </c>
      <c r="J161" s="2" t="n">
        <v>2.41613187791876</v>
      </c>
      <c r="K161" s="2" t="n">
        <v>58.2</v>
      </c>
      <c r="L161" s="2" t="n">
        <v>20.5</v>
      </c>
      <c r="M161" s="2" t="n">
        <v>54.7</v>
      </c>
      <c r="N161" s="2" t="n">
        <v>56.2</v>
      </c>
      <c r="O161" s="2" t="n">
        <v>78.9</v>
      </c>
      <c r="P161" s="2" t="n">
        <v>2.45</v>
      </c>
      <c r="Q161" s="2" t="n">
        <v>3.85</v>
      </c>
      <c r="R161" s="2" t="n">
        <v>85.4</v>
      </c>
      <c r="S161" s="2" t="n">
        <v>420</v>
      </c>
      <c r="T161" s="2" t="n">
        <v>80</v>
      </c>
    </row>
    <row r="162" customFormat="false" ht="15" hidden="false" customHeight="false" outlineLevel="0" collapsed="false">
      <c r="A162" s="2" t="s">
        <v>478</v>
      </c>
      <c r="B162" s="2"/>
      <c r="C162" s="2" t="s">
        <v>21</v>
      </c>
      <c r="D162" s="2" t="s">
        <v>36</v>
      </c>
      <c r="E162" s="2" t="s">
        <v>479</v>
      </c>
      <c r="F162" s="2" t="n">
        <v>-25.3005</v>
      </c>
      <c r="G162" s="2" t="n">
        <v>-57.6362</v>
      </c>
      <c r="H162" s="2" t="s">
        <v>480</v>
      </c>
      <c r="I162" s="2" t="n">
        <v>2024</v>
      </c>
      <c r="J162" s="2" t="n">
        <v>3.83540271728533</v>
      </c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customFormat="false" ht="15" hidden="false" customHeight="false" outlineLevel="0" collapsed="false">
      <c r="A163" s="2" t="s">
        <v>481</v>
      </c>
      <c r="B163" s="2"/>
      <c r="C163" s="2" t="s">
        <v>25</v>
      </c>
      <c r="D163" s="2" t="s">
        <v>31</v>
      </c>
      <c r="E163" s="2"/>
      <c r="F163" s="2"/>
      <c r="G163" s="2"/>
      <c r="H163" s="2" t="s">
        <v>482</v>
      </c>
      <c r="I163" s="2" t="n">
        <v>2024</v>
      </c>
      <c r="J163" s="2" t="n">
        <v>53.6691458303782</v>
      </c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customFormat="false" ht="15" hidden="false" customHeight="false" outlineLevel="0" collapsed="false">
      <c r="A164" s="2" t="s">
        <v>483</v>
      </c>
      <c r="B164" s="2"/>
      <c r="C164" s="2" t="s">
        <v>51</v>
      </c>
      <c r="D164" s="2" t="s">
        <v>22</v>
      </c>
      <c r="E164" s="2" t="s">
        <v>484</v>
      </c>
      <c r="F164" s="2" t="n">
        <v>-17.535</v>
      </c>
      <c r="G164" s="2" t="n">
        <v>-149.57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customFormat="false" ht="15" hidden="false" customHeight="false" outlineLevel="0" collapsed="false">
      <c r="A165" s="2" t="s">
        <v>485</v>
      </c>
      <c r="B165" s="2"/>
      <c r="C165" s="2" t="s">
        <v>25</v>
      </c>
      <c r="D165" s="2" t="s">
        <v>22</v>
      </c>
      <c r="E165" s="2" t="s">
        <v>486</v>
      </c>
      <c r="F165" s="2" t="n">
        <v>25.2948</v>
      </c>
      <c r="G165" s="2" t="n">
        <v>51.5082</v>
      </c>
      <c r="H165" s="2" t="s">
        <v>487</v>
      </c>
      <c r="I165" s="2" t="n">
        <v>2024</v>
      </c>
      <c r="J165" s="2" t="n">
        <v>1.26734310292375</v>
      </c>
      <c r="K165" s="2" t="n">
        <v>70.8</v>
      </c>
      <c r="L165" s="2" t="n">
        <v>31.5</v>
      </c>
      <c r="M165" s="2" t="n">
        <v>66.2</v>
      </c>
      <c r="N165" s="2" t="n">
        <v>68.5</v>
      </c>
      <c r="O165" s="2" t="n">
        <v>92.8</v>
      </c>
      <c r="P165" s="2"/>
      <c r="Q165" s="2"/>
      <c r="R165" s="2"/>
      <c r="S165" s="2" t="n">
        <v>900</v>
      </c>
      <c r="T165" s="2"/>
    </row>
    <row r="166" customFormat="false" ht="15" hidden="false" customHeight="false" outlineLevel="0" collapsed="false">
      <c r="A166" s="2" t="s">
        <v>488</v>
      </c>
      <c r="B166" s="2"/>
      <c r="C166" s="2" t="s">
        <v>35</v>
      </c>
      <c r="D166" s="2" t="s">
        <v>22</v>
      </c>
      <c r="E166" s="2" t="s">
        <v>489</v>
      </c>
      <c r="F166" s="2" t="n">
        <v>44.4479</v>
      </c>
      <c r="G166" s="2" t="n">
        <v>26.0979</v>
      </c>
      <c r="H166" s="2" t="s">
        <v>490</v>
      </c>
      <c r="I166" s="2" t="n">
        <v>2024</v>
      </c>
      <c r="J166" s="2" t="n">
        <v>5.72140574354439</v>
      </c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customFormat="false" ht="15" hidden="false" customHeight="false" outlineLevel="0" collapsed="false">
      <c r="A167" s="2" t="s">
        <v>491</v>
      </c>
      <c r="B167" s="2"/>
      <c r="C167" s="2" t="s">
        <v>35</v>
      </c>
      <c r="D167" s="2" t="s">
        <v>22</v>
      </c>
      <c r="E167" s="2" t="s">
        <v>492</v>
      </c>
      <c r="F167" s="2" t="n">
        <v>55.7558</v>
      </c>
      <c r="G167" s="2" t="n">
        <v>37.6176</v>
      </c>
      <c r="H167" s="2" t="s">
        <v>493</v>
      </c>
      <c r="I167" s="2" t="n">
        <v>2024</v>
      </c>
      <c r="J167" s="2" t="n">
        <v>8.43486410496723</v>
      </c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customFormat="false" ht="15" hidden="false" customHeight="false" outlineLevel="0" collapsed="false">
      <c r="A168" s="2" t="s">
        <v>494</v>
      </c>
      <c r="B168" s="2"/>
      <c r="C168" s="2" t="s">
        <v>30</v>
      </c>
      <c r="D168" s="2" t="s">
        <v>26</v>
      </c>
      <c r="E168" s="2" t="s">
        <v>495</v>
      </c>
      <c r="F168" s="2" t="n">
        <v>-1.95325</v>
      </c>
      <c r="G168" s="2" t="n">
        <v>30.0587</v>
      </c>
      <c r="H168" s="2" t="s">
        <v>496</v>
      </c>
      <c r="I168" s="2" t="n">
        <v>2024</v>
      </c>
      <c r="J168" s="2" t="n">
        <v>1.77029240198635</v>
      </c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customFormat="false" ht="15" hidden="false" customHeight="false" outlineLevel="0" collapsed="false">
      <c r="A169" s="2" t="s">
        <v>497</v>
      </c>
      <c r="B169" s="2"/>
      <c r="C169" s="2" t="s">
        <v>25</v>
      </c>
      <c r="D169" s="2" t="s">
        <v>22</v>
      </c>
      <c r="E169" s="2" t="s">
        <v>498</v>
      </c>
      <c r="F169" s="2" t="n">
        <v>24.6748</v>
      </c>
      <c r="G169" s="2" t="n">
        <v>46.6977</v>
      </c>
      <c r="H169" s="2" t="s">
        <v>499</v>
      </c>
      <c r="I169" s="2" t="n">
        <v>2024</v>
      </c>
      <c r="J169" s="2" t="n">
        <v>1.68792112375809</v>
      </c>
      <c r="K169" s="2" t="n">
        <v>68.2</v>
      </c>
      <c r="L169" s="2" t="n">
        <v>28.4</v>
      </c>
      <c r="M169" s="2" t="n">
        <v>64.2</v>
      </c>
      <c r="N169" s="2" t="n">
        <v>66.1</v>
      </c>
      <c r="O169" s="2" t="n">
        <v>89.4</v>
      </c>
      <c r="P169" s="2"/>
      <c r="Q169" s="2"/>
      <c r="R169" s="2"/>
      <c r="S169" s="2" t="n">
        <v>750</v>
      </c>
      <c r="T169" s="2"/>
    </row>
    <row r="170" customFormat="false" ht="15" hidden="false" customHeight="false" outlineLevel="0" collapsed="false">
      <c r="A170" s="2" t="s">
        <v>500</v>
      </c>
      <c r="B170" s="2"/>
      <c r="C170" s="2" t="s">
        <v>30</v>
      </c>
      <c r="D170" s="2" t="s">
        <v>26</v>
      </c>
      <c r="E170" s="2" t="s">
        <v>501</v>
      </c>
      <c r="F170" s="2" t="n">
        <v>15.5932</v>
      </c>
      <c r="G170" s="2" t="n">
        <v>32.5363</v>
      </c>
      <c r="H170" s="2" t="s">
        <v>502</v>
      </c>
      <c r="I170" s="2" t="n">
        <v>2022</v>
      </c>
      <c r="J170" s="2" t="n">
        <v>138.80846024176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customFormat="false" ht="15" hidden="false" customHeight="false" outlineLevel="0" collapsed="false">
      <c r="A171" s="2" t="s">
        <v>503</v>
      </c>
      <c r="B171" s="2"/>
      <c r="C171" s="2" t="s">
        <v>30</v>
      </c>
      <c r="D171" s="2" t="s">
        <v>31</v>
      </c>
      <c r="E171" s="2" t="s">
        <v>504</v>
      </c>
      <c r="F171" s="2" t="n">
        <v>14.7247</v>
      </c>
      <c r="G171" s="2" t="n">
        <v>-17.4734</v>
      </c>
      <c r="H171" s="2" t="s">
        <v>505</v>
      </c>
      <c r="I171" s="2" t="n">
        <v>2024</v>
      </c>
      <c r="J171" s="2" t="n">
        <v>0.804503298792438</v>
      </c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customFormat="false" ht="15" hidden="false" customHeight="false" outlineLevel="0" collapsed="false">
      <c r="A172" s="2" t="s">
        <v>506</v>
      </c>
      <c r="B172" s="2"/>
      <c r="C172" s="2" t="s">
        <v>51</v>
      </c>
      <c r="D172" s="2" t="s">
        <v>22</v>
      </c>
      <c r="E172" s="2" t="s">
        <v>506</v>
      </c>
      <c r="F172" s="2" t="n">
        <v>1.28941</v>
      </c>
      <c r="G172" s="2" t="n">
        <v>103.85</v>
      </c>
      <c r="H172" s="2" t="s">
        <v>507</v>
      </c>
      <c r="I172" s="2" t="n">
        <v>2024</v>
      </c>
      <c r="J172" s="2" t="n">
        <v>2.38951123595017</v>
      </c>
      <c r="K172" s="2" t="n">
        <v>80.9</v>
      </c>
      <c r="L172" s="2" t="n">
        <v>55.3</v>
      </c>
      <c r="M172" s="2" t="n">
        <v>70.1</v>
      </c>
      <c r="N172" s="2" t="n">
        <v>72.8</v>
      </c>
      <c r="O172" s="2" t="n">
        <v>95.2</v>
      </c>
      <c r="P172" s="2" t="n">
        <v>3.05</v>
      </c>
      <c r="Q172" s="2"/>
      <c r="R172" s="2"/>
      <c r="S172" s="2" t="n">
        <v>3167</v>
      </c>
      <c r="T172" s="2" t="n">
        <v>180</v>
      </c>
    </row>
    <row r="173" customFormat="false" ht="15" hidden="false" customHeight="false" outlineLevel="0" collapsed="false">
      <c r="A173" s="2" t="s">
        <v>508</v>
      </c>
      <c r="B173" s="2"/>
      <c r="C173" s="2" t="s">
        <v>51</v>
      </c>
      <c r="D173" s="2" t="s">
        <v>31</v>
      </c>
      <c r="E173" s="2" t="s">
        <v>509</v>
      </c>
      <c r="F173" s="2" t="n">
        <v>-9.42676</v>
      </c>
      <c r="G173" s="2" t="n">
        <v>159.949</v>
      </c>
      <c r="H173" s="2" t="s">
        <v>510</v>
      </c>
      <c r="I173" s="2" t="n">
        <v>2024</v>
      </c>
      <c r="J173" s="2" t="n">
        <v>4.32183948388033</v>
      </c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customFormat="false" ht="15" hidden="false" customHeight="false" outlineLevel="0" collapsed="false">
      <c r="A174" s="2" t="s">
        <v>511</v>
      </c>
      <c r="B174" s="2"/>
      <c r="C174" s="2" t="s">
        <v>30</v>
      </c>
      <c r="D174" s="2" t="s">
        <v>26</v>
      </c>
      <c r="E174" s="2" t="s">
        <v>512</v>
      </c>
      <c r="F174" s="2" t="n">
        <v>8.4821</v>
      </c>
      <c r="G174" s="2" t="n">
        <v>-13.2134</v>
      </c>
      <c r="H174" s="2" t="s">
        <v>513</v>
      </c>
      <c r="I174" s="2" t="n">
        <v>2024</v>
      </c>
      <c r="J174" s="2" t="n">
        <v>28.6337500014115</v>
      </c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customFormat="false" ht="15" hidden="false" customHeight="false" outlineLevel="0" collapsed="false">
      <c r="A175" s="2" t="s">
        <v>514</v>
      </c>
      <c r="B175" s="2"/>
      <c r="C175" s="2" t="s">
        <v>21</v>
      </c>
      <c r="D175" s="2" t="s">
        <v>36</v>
      </c>
      <c r="E175" s="2" t="s">
        <v>515</v>
      </c>
      <c r="F175" s="2" t="n">
        <v>13.7034</v>
      </c>
      <c r="G175" s="2" t="n">
        <v>-89.2073</v>
      </c>
      <c r="H175" s="2" t="s">
        <v>516</v>
      </c>
      <c r="I175" s="2" t="n">
        <v>2024</v>
      </c>
      <c r="J175" s="2" t="n">
        <v>0.853782292567288</v>
      </c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customFormat="false" ht="15" hidden="false" customHeight="false" outlineLevel="0" collapsed="false">
      <c r="A176" s="2" t="s">
        <v>517</v>
      </c>
      <c r="B176" s="2"/>
      <c r="C176" s="2" t="s">
        <v>35</v>
      </c>
      <c r="D176" s="2" t="s">
        <v>22</v>
      </c>
      <c r="E176" s="2" t="s">
        <v>517</v>
      </c>
      <c r="F176" s="2" t="n">
        <v>43.9322</v>
      </c>
      <c r="G176" s="2" t="n">
        <v>12.4486</v>
      </c>
      <c r="H176" s="2" t="s">
        <v>518</v>
      </c>
      <c r="I176" s="2" t="n">
        <v>2024</v>
      </c>
      <c r="J176" s="2" t="n">
        <v>1.24216507945569</v>
      </c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customFormat="false" ht="15" hidden="false" customHeight="false" outlineLevel="0" collapsed="false">
      <c r="A177" s="2" t="s">
        <v>519</v>
      </c>
      <c r="B177" s="2"/>
      <c r="C177" s="2" t="s">
        <v>30</v>
      </c>
      <c r="D177" s="2" t="s">
        <v>26</v>
      </c>
      <c r="E177" s="2" t="s">
        <v>520</v>
      </c>
      <c r="F177" s="2" t="n">
        <v>2.07515</v>
      </c>
      <c r="G177" s="2" t="n">
        <v>45.3254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customFormat="false" ht="15" hidden="false" customHeight="false" outlineLevel="0" collapsed="false">
      <c r="A178" s="2" t="s">
        <v>521</v>
      </c>
      <c r="B178" s="2"/>
      <c r="C178" s="2" t="s">
        <v>35</v>
      </c>
      <c r="D178" s="2" t="s">
        <v>36</v>
      </c>
      <c r="E178" s="2" t="s">
        <v>522</v>
      </c>
      <c r="F178" s="2" t="n">
        <v>44.8024</v>
      </c>
      <c r="G178" s="2" t="n">
        <v>20.4656</v>
      </c>
      <c r="H178" s="2" t="s">
        <v>523</v>
      </c>
      <c r="I178" s="2" t="n">
        <v>2024</v>
      </c>
      <c r="J178" s="2" t="n">
        <v>4.6705297488997</v>
      </c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customFormat="false" ht="15" hidden="false" customHeight="false" outlineLevel="0" collapsed="false">
      <c r="A179" s="2" t="s">
        <v>524</v>
      </c>
      <c r="B179" s="2"/>
      <c r="C179" s="2" t="s">
        <v>30</v>
      </c>
      <c r="D179" s="2" t="s">
        <v>26</v>
      </c>
      <c r="E179" s="2" t="s">
        <v>525</v>
      </c>
      <c r="F179" s="2" t="n">
        <v>4.85</v>
      </c>
      <c r="G179" s="2" t="n">
        <v>31.6</v>
      </c>
      <c r="H179" s="2" t="s">
        <v>526</v>
      </c>
      <c r="I179" s="2" t="n">
        <v>2024</v>
      </c>
      <c r="J179" s="2" t="n">
        <v>91.4408220769046</v>
      </c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customFormat="false" ht="15" hidden="false" customHeight="false" outlineLevel="0" collapsed="false">
      <c r="A180" s="2" t="s">
        <v>527</v>
      </c>
      <c r="B180" s="2"/>
      <c r="C180" s="2" t="s">
        <v>30</v>
      </c>
      <c r="D180" s="2" t="s">
        <v>31</v>
      </c>
      <c r="E180" s="2" t="s">
        <v>528</v>
      </c>
      <c r="F180" s="2" t="n">
        <v>0.20618</v>
      </c>
      <c r="G180" s="2" t="n">
        <v>6.6071</v>
      </c>
      <c r="H180" s="2" t="s">
        <v>529</v>
      </c>
      <c r="I180" s="2" t="n">
        <v>2024</v>
      </c>
      <c r="J180" s="2" t="n">
        <v>14.3519273571008</v>
      </c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customFormat="false" ht="15" hidden="false" customHeight="false" outlineLevel="0" collapsed="false">
      <c r="A181" s="2" t="s">
        <v>530</v>
      </c>
      <c r="B181" s="2"/>
      <c r="C181" s="2" t="s">
        <v>21</v>
      </c>
      <c r="D181" s="2" t="s">
        <v>36</v>
      </c>
      <c r="E181" s="2" t="s">
        <v>531</v>
      </c>
      <c r="F181" s="2" t="n">
        <v>5.8232</v>
      </c>
      <c r="G181" s="2" t="n">
        <v>-55.1679</v>
      </c>
      <c r="H181" s="2" t="s">
        <v>532</v>
      </c>
      <c r="I181" s="2" t="n">
        <v>2024</v>
      </c>
      <c r="J181" s="2" t="n">
        <v>16.2296159130279</v>
      </c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customFormat="false" ht="15" hidden="false" customHeight="false" outlineLevel="0" collapsed="false">
      <c r="A182" s="2" t="s">
        <v>533</v>
      </c>
      <c r="B182" s="2"/>
      <c r="C182" s="2" t="s">
        <v>35</v>
      </c>
      <c r="D182" s="2" t="s">
        <v>22</v>
      </c>
      <c r="E182" s="2" t="s">
        <v>534</v>
      </c>
      <c r="F182" s="2" t="n">
        <v>48.1484</v>
      </c>
      <c r="G182" s="2" t="n">
        <v>17.1073</v>
      </c>
      <c r="H182" s="2" t="s">
        <v>535</v>
      </c>
      <c r="I182" s="2" t="n">
        <v>2024</v>
      </c>
      <c r="J182" s="2" t="n">
        <v>2.75760909424279</v>
      </c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customFormat="false" ht="15" hidden="false" customHeight="false" outlineLevel="0" collapsed="false">
      <c r="A183" s="2" t="s">
        <v>536</v>
      </c>
      <c r="B183" s="2"/>
      <c r="C183" s="2" t="s">
        <v>35</v>
      </c>
      <c r="D183" s="2" t="s">
        <v>22</v>
      </c>
      <c r="E183" s="2" t="s">
        <v>537</v>
      </c>
      <c r="F183" s="2" t="n">
        <v>46.0546</v>
      </c>
      <c r="G183" s="2" t="n">
        <v>14.5044</v>
      </c>
      <c r="H183" s="2" t="s">
        <v>538</v>
      </c>
      <c r="I183" s="2" t="n">
        <v>2024</v>
      </c>
      <c r="J183" s="2" t="n">
        <v>1.96562656432505</v>
      </c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customFormat="false" ht="15" hidden="false" customHeight="false" outlineLevel="0" collapsed="false">
      <c r="A184" s="2" t="s">
        <v>539</v>
      </c>
      <c r="B184" s="2"/>
      <c r="C184" s="2" t="s">
        <v>35</v>
      </c>
      <c r="D184" s="2" t="s">
        <v>22</v>
      </c>
      <c r="E184" s="2" t="s">
        <v>540</v>
      </c>
      <c r="F184" s="2" t="n">
        <v>59.3327</v>
      </c>
      <c r="G184" s="2" t="n">
        <v>18.0645</v>
      </c>
      <c r="H184" s="2" t="s">
        <v>541</v>
      </c>
      <c r="I184" s="2" t="n">
        <v>2024</v>
      </c>
      <c r="J184" s="2" t="n">
        <v>2.83581658224034</v>
      </c>
      <c r="K184" s="2"/>
      <c r="L184" s="2"/>
      <c r="M184" s="2"/>
      <c r="N184" s="2"/>
      <c r="O184" s="2"/>
      <c r="P184" s="2"/>
      <c r="Q184" s="2" t="n">
        <v>5.28</v>
      </c>
      <c r="R184" s="2" t="n">
        <v>122.4</v>
      </c>
      <c r="S184" s="2"/>
      <c r="T184" s="2"/>
    </row>
    <row r="185" customFormat="false" ht="15" hidden="false" customHeight="false" outlineLevel="0" collapsed="false">
      <c r="A185" s="2" t="s">
        <v>542</v>
      </c>
      <c r="B185" s="2"/>
      <c r="C185" s="2" t="s">
        <v>30</v>
      </c>
      <c r="D185" s="2" t="s">
        <v>31</v>
      </c>
      <c r="E185" s="2" t="s">
        <v>543</v>
      </c>
      <c r="F185" s="2" t="n">
        <v>-26.5225</v>
      </c>
      <c r="G185" s="2" t="n">
        <v>31.4659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customFormat="false" ht="15" hidden="false" customHeight="false" outlineLevel="0" collapsed="false">
      <c r="A186" s="2" t="s">
        <v>544</v>
      </c>
      <c r="B186" s="2"/>
      <c r="C186" s="2" t="s">
        <v>21</v>
      </c>
      <c r="D186" s="2" t="s">
        <v>22</v>
      </c>
      <c r="E186" s="2" t="s">
        <v>545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customFormat="false" ht="15" hidden="false" customHeight="false" outlineLevel="0" collapsed="false">
      <c r="A187" s="2" t="s">
        <v>546</v>
      </c>
      <c r="B187" s="2"/>
      <c r="C187" s="2" t="s">
        <v>30</v>
      </c>
      <c r="D187" s="2" t="s">
        <v>22</v>
      </c>
      <c r="E187" s="2" t="s">
        <v>547</v>
      </c>
      <c r="F187" s="2" t="n">
        <v>-4.6309</v>
      </c>
      <c r="G187" s="2" t="n">
        <v>55.4466</v>
      </c>
      <c r="H187" s="2" t="s">
        <v>548</v>
      </c>
      <c r="I187" s="2" t="n">
        <v>2024</v>
      </c>
      <c r="J187" s="2" t="n">
        <v>0.311726050919668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customFormat="false" ht="15" hidden="false" customHeight="false" outlineLevel="0" collapsed="false">
      <c r="A188" s="2" t="s">
        <v>549</v>
      </c>
      <c r="B188" s="2"/>
      <c r="C188" s="2" t="s">
        <v>25</v>
      </c>
      <c r="D188" s="2" t="s">
        <v>26</v>
      </c>
      <c r="E188" s="2" t="s">
        <v>550</v>
      </c>
      <c r="F188" s="2" t="n">
        <v>33.5146</v>
      </c>
      <c r="G188" s="2" t="n">
        <v>36.3119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customFormat="false" ht="15" hidden="false" customHeight="false" outlineLevel="0" collapsed="false">
      <c r="A189" s="2" t="s">
        <v>551</v>
      </c>
      <c r="B189" s="2"/>
      <c r="C189" s="2" t="s">
        <v>21</v>
      </c>
      <c r="D189" s="2" t="s">
        <v>22</v>
      </c>
      <c r="E189" s="2" t="s">
        <v>552</v>
      </c>
      <c r="F189" s="2" t="n">
        <v>21.4602778</v>
      </c>
      <c r="G189" s="2" t="n">
        <v>-71.141389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customFormat="false" ht="15" hidden="false" customHeight="false" outlineLevel="0" collapsed="false">
      <c r="A190" s="2" t="s">
        <v>553</v>
      </c>
      <c r="B190" s="2"/>
      <c r="C190" s="2" t="s">
        <v>30</v>
      </c>
      <c r="D190" s="2" t="s">
        <v>26</v>
      </c>
      <c r="E190" s="2" t="s">
        <v>554</v>
      </c>
      <c r="F190" s="2" t="n">
        <v>12.1048</v>
      </c>
      <c r="G190" s="2" t="n">
        <v>15.0445</v>
      </c>
      <c r="H190" s="2" t="s">
        <v>555</v>
      </c>
      <c r="I190" s="2" t="n">
        <v>2024</v>
      </c>
      <c r="J190" s="2" t="n">
        <v>8.89950732263754</v>
      </c>
      <c r="K190" s="2"/>
      <c r="L190" s="2"/>
      <c r="M190" s="2"/>
      <c r="N190" s="2"/>
      <c r="O190" s="2"/>
      <c r="P190" s="2" t="n">
        <v>0.36</v>
      </c>
      <c r="Q190" s="2"/>
      <c r="R190" s="2"/>
      <c r="S190" s="2"/>
      <c r="T190" s="2"/>
    </row>
    <row r="191" customFormat="false" ht="15" hidden="false" customHeight="false" outlineLevel="0" collapsed="false">
      <c r="A191" s="2" t="s">
        <v>556</v>
      </c>
      <c r="B191" s="2"/>
      <c r="C191" s="2" t="s">
        <v>30</v>
      </c>
      <c r="D191" s="2" t="s">
        <v>31</v>
      </c>
      <c r="E191" s="2" t="s">
        <v>557</v>
      </c>
      <c r="F191" s="2" t="n">
        <v>6.1228</v>
      </c>
      <c r="G191" s="2" t="n">
        <v>1.2255</v>
      </c>
      <c r="H191" s="2" t="s">
        <v>558</v>
      </c>
      <c r="I191" s="2" t="n">
        <v>2024</v>
      </c>
      <c r="J191" s="2" t="n">
        <v>2.86262074089801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customFormat="false" ht="15" hidden="false" customHeight="false" outlineLevel="0" collapsed="false">
      <c r="A192" s="2" t="s">
        <v>559</v>
      </c>
      <c r="B192" s="2"/>
      <c r="C192" s="2" t="s">
        <v>51</v>
      </c>
      <c r="D192" s="2" t="s">
        <v>36</v>
      </c>
      <c r="E192" s="2" t="s">
        <v>560</v>
      </c>
      <c r="F192" s="2" t="n">
        <v>13.7308</v>
      </c>
      <c r="G192" s="2" t="n">
        <v>100.521</v>
      </c>
      <c r="H192" s="2" t="s">
        <v>561</v>
      </c>
      <c r="I192" s="2" t="n">
        <v>2024</v>
      </c>
      <c r="J192" s="2" t="n">
        <v>0.398333333333422</v>
      </c>
      <c r="K192" s="2" t="n">
        <v>55.2</v>
      </c>
      <c r="L192" s="2" t="n">
        <v>18.2</v>
      </c>
      <c r="M192" s="2" t="n">
        <v>52.4</v>
      </c>
      <c r="N192" s="2" t="n">
        <v>53.2</v>
      </c>
      <c r="O192" s="2" t="n">
        <v>72.8</v>
      </c>
      <c r="P192" s="2"/>
      <c r="Q192" s="2"/>
      <c r="R192" s="2"/>
      <c r="S192" s="2" t="n">
        <v>350</v>
      </c>
      <c r="T192" s="2"/>
    </row>
    <row r="193" customFormat="false" ht="15" hidden="false" customHeight="false" outlineLevel="0" collapsed="false">
      <c r="A193" s="2" t="s">
        <v>562</v>
      </c>
      <c r="B193" s="2"/>
      <c r="C193" s="2" t="s">
        <v>35</v>
      </c>
      <c r="D193" s="2" t="s">
        <v>31</v>
      </c>
      <c r="E193" s="2" t="s">
        <v>563</v>
      </c>
      <c r="F193" s="2" t="n">
        <v>38.5878</v>
      </c>
      <c r="G193" s="2" t="n">
        <v>68.7864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customFormat="false" ht="15" hidden="false" customHeight="false" outlineLevel="0" collapsed="false">
      <c r="A194" s="2" t="s">
        <v>564</v>
      </c>
      <c r="B194" s="2"/>
      <c r="C194" s="2" t="s">
        <v>35</v>
      </c>
      <c r="D194" s="2" t="s">
        <v>36</v>
      </c>
      <c r="E194" s="2" t="s">
        <v>565</v>
      </c>
      <c r="F194" s="2" t="n">
        <v>37.9509</v>
      </c>
      <c r="G194" s="2" t="n">
        <v>58.3794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customFormat="false" ht="15" hidden="false" customHeight="false" outlineLevel="0" collapsed="false">
      <c r="A195" s="2" t="s">
        <v>566</v>
      </c>
      <c r="B195" s="2"/>
      <c r="C195" s="2" t="s">
        <v>51</v>
      </c>
      <c r="D195" s="2" t="s">
        <v>31</v>
      </c>
      <c r="E195" s="2" t="s">
        <v>567</v>
      </c>
      <c r="F195" s="2" t="n">
        <v>-8.56667</v>
      </c>
      <c r="G195" s="2" t="n">
        <v>125.567</v>
      </c>
      <c r="H195" s="2" t="s">
        <v>568</v>
      </c>
      <c r="I195" s="2" t="n">
        <v>2024</v>
      </c>
      <c r="J195" s="2" t="n">
        <v>2.06284153005468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customFormat="false" ht="15" hidden="false" customHeight="false" outlineLevel="0" collapsed="false">
      <c r="A196" s="2" t="s">
        <v>569</v>
      </c>
      <c r="B196" s="2"/>
      <c r="C196" s="2" t="s">
        <v>51</v>
      </c>
      <c r="D196" s="2" t="s">
        <v>36</v>
      </c>
      <c r="E196" s="2" t="s">
        <v>570</v>
      </c>
      <c r="F196" s="2" t="n">
        <v>-21.136</v>
      </c>
      <c r="G196" s="2" t="n">
        <v>-175.216</v>
      </c>
      <c r="H196" s="2" t="s">
        <v>571</v>
      </c>
      <c r="I196" s="2" t="n">
        <v>2024</v>
      </c>
      <c r="J196" s="2" t="n">
        <v>3.18188924237472</v>
      </c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customFormat="false" ht="15" hidden="false" customHeight="false" outlineLevel="0" collapsed="false">
      <c r="A197" s="2" t="s">
        <v>572</v>
      </c>
      <c r="B197" s="2"/>
      <c r="C197" s="2" t="s">
        <v>21</v>
      </c>
      <c r="D197" s="2" t="s">
        <v>22</v>
      </c>
      <c r="E197" s="2" t="s">
        <v>573</v>
      </c>
      <c r="F197" s="2" t="n">
        <v>10.6596</v>
      </c>
      <c r="G197" s="2" t="n">
        <v>-61.4789</v>
      </c>
      <c r="H197" s="2" t="s">
        <v>574</v>
      </c>
      <c r="I197" s="2" t="n">
        <v>2024</v>
      </c>
      <c r="J197" s="2" t="n">
        <v>0.526884625776839</v>
      </c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customFormat="false" ht="15" hidden="false" customHeight="false" outlineLevel="0" collapsed="false">
      <c r="A198" s="2" t="s">
        <v>575</v>
      </c>
      <c r="B198" s="2"/>
      <c r="C198" s="2" t="s">
        <v>25</v>
      </c>
      <c r="D198" s="2" t="s">
        <v>31</v>
      </c>
      <c r="E198" s="2" t="s">
        <v>576</v>
      </c>
      <c r="F198" s="2" t="n">
        <v>36.7899</v>
      </c>
      <c r="G198" s="2" t="n">
        <v>10.21</v>
      </c>
      <c r="H198" s="2" t="s">
        <v>577</v>
      </c>
      <c r="I198" s="2" t="n">
        <v>2024</v>
      </c>
      <c r="J198" s="2" t="n">
        <v>7.20661657168794</v>
      </c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customFormat="false" ht="15" hidden="false" customHeight="false" outlineLevel="0" collapsed="false">
      <c r="A199" s="2" t="s">
        <v>578</v>
      </c>
      <c r="B199" s="2"/>
      <c r="C199" s="2" t="s">
        <v>35</v>
      </c>
      <c r="D199" s="2" t="s">
        <v>36</v>
      </c>
      <c r="E199" s="2" t="s">
        <v>579</v>
      </c>
      <c r="F199" s="2" t="n">
        <v>39.7153</v>
      </c>
      <c r="G199" s="2" t="n">
        <v>32.3606</v>
      </c>
      <c r="H199" s="2" t="s">
        <v>580</v>
      </c>
      <c r="I199" s="2" t="n">
        <v>2024</v>
      </c>
      <c r="J199" s="2" t="n">
        <v>58.5064507300342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customFormat="false" ht="15" hidden="false" customHeight="false" outlineLevel="0" collapsed="false">
      <c r="A200" s="2" t="s">
        <v>581</v>
      </c>
      <c r="B200" s="2"/>
      <c r="C200" s="2" t="s">
        <v>51</v>
      </c>
      <c r="D200" s="2" t="s">
        <v>36</v>
      </c>
      <c r="E200" s="2" t="s">
        <v>582</v>
      </c>
      <c r="F200" s="2" t="n">
        <v>-8.6314877</v>
      </c>
      <c r="G200" s="2" t="n">
        <v>179.089567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customFormat="false" ht="15" hidden="false" customHeight="false" outlineLevel="0" collapsed="false">
      <c r="A201" s="2" t="s">
        <v>583</v>
      </c>
      <c r="B201" s="2"/>
      <c r="C201" s="2" t="s">
        <v>30</v>
      </c>
      <c r="D201" s="2" t="s">
        <v>31</v>
      </c>
      <c r="E201" s="2" t="s">
        <v>584</v>
      </c>
      <c r="F201" s="2" t="n">
        <v>-6.17486</v>
      </c>
      <c r="G201" s="2" t="n">
        <v>35.7382</v>
      </c>
      <c r="H201" s="2" t="s">
        <v>585</v>
      </c>
      <c r="I201" s="2" t="n">
        <v>2024</v>
      </c>
      <c r="J201" s="2" t="n">
        <v>3.05694676312373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customFormat="false" ht="15" hidden="false" customHeight="false" outlineLevel="0" collapsed="false">
      <c r="A202" s="2" t="s">
        <v>586</v>
      </c>
      <c r="B202" s="2"/>
      <c r="C202" s="2" t="s">
        <v>30</v>
      </c>
      <c r="D202" s="2" t="s">
        <v>26</v>
      </c>
      <c r="E202" s="2" t="s">
        <v>587</v>
      </c>
      <c r="F202" s="2" t="n">
        <v>0.314269</v>
      </c>
      <c r="G202" s="2" t="n">
        <v>32.5729</v>
      </c>
      <c r="H202" s="2" t="s">
        <v>588</v>
      </c>
      <c r="I202" s="2" t="n">
        <v>2024</v>
      </c>
      <c r="J202" s="2" t="n">
        <v>3.32338033691819</v>
      </c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customFormat="false" ht="15" hidden="false" customHeight="false" outlineLevel="0" collapsed="false">
      <c r="A203" s="2" t="s">
        <v>589</v>
      </c>
      <c r="B203" s="2"/>
      <c r="C203" s="2" t="s">
        <v>35</v>
      </c>
      <c r="D203" s="2" t="s">
        <v>36</v>
      </c>
      <c r="E203" s="2" t="s">
        <v>590</v>
      </c>
      <c r="F203" s="2" t="n">
        <v>50.4536</v>
      </c>
      <c r="G203" s="2" t="n">
        <v>30.5038</v>
      </c>
      <c r="H203" s="2" t="s">
        <v>591</v>
      </c>
      <c r="I203" s="2" t="n">
        <v>2024</v>
      </c>
      <c r="J203" s="2" t="n">
        <v>6.50198464669254</v>
      </c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customFormat="false" ht="15" hidden="false" customHeight="false" outlineLevel="0" collapsed="false">
      <c r="A204" s="2" t="s">
        <v>592</v>
      </c>
      <c r="B204" s="2"/>
      <c r="C204" s="2" t="s">
        <v>21</v>
      </c>
      <c r="D204" s="2" t="s">
        <v>22</v>
      </c>
      <c r="E204" s="2" t="s">
        <v>593</v>
      </c>
      <c r="F204" s="2" t="n">
        <v>-34.8941</v>
      </c>
      <c r="G204" s="2" t="n">
        <v>-56.0675</v>
      </c>
      <c r="H204" s="2" t="s">
        <v>594</v>
      </c>
      <c r="I204" s="2" t="n">
        <v>2024</v>
      </c>
      <c r="J204" s="2" t="n">
        <v>4.84914366613156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customFormat="false" ht="15" hidden="false" customHeight="false" outlineLevel="0" collapsed="false">
      <c r="A205" s="2" t="s">
        <v>595</v>
      </c>
      <c r="B205" s="2"/>
      <c r="C205" s="2" t="s">
        <v>100</v>
      </c>
      <c r="D205" s="2" t="s">
        <v>22</v>
      </c>
      <c r="E205" s="2" t="s">
        <v>596</v>
      </c>
      <c r="F205" s="2" t="n">
        <v>38.8895</v>
      </c>
      <c r="G205" s="2" t="n">
        <v>-77.032</v>
      </c>
      <c r="H205" s="2" t="s">
        <v>597</v>
      </c>
      <c r="I205" s="2" t="n">
        <v>2024</v>
      </c>
      <c r="J205" s="2" t="n">
        <v>2.94952520485207</v>
      </c>
      <c r="K205" s="2" t="n">
        <v>74.3</v>
      </c>
      <c r="L205" s="2" t="n">
        <v>35.2</v>
      </c>
      <c r="M205" s="2" t="n">
        <v>68.5</v>
      </c>
      <c r="N205" s="2" t="n">
        <v>70.2</v>
      </c>
      <c r="O205" s="2" t="n">
        <v>100</v>
      </c>
      <c r="P205" s="2" t="n">
        <v>3.65</v>
      </c>
      <c r="Q205" s="2"/>
      <c r="R205" s="2"/>
      <c r="S205" s="2" t="n">
        <v>1603</v>
      </c>
      <c r="T205" s="2" t="n">
        <v>150</v>
      </c>
    </row>
    <row r="206" customFormat="false" ht="15" hidden="false" customHeight="false" outlineLevel="0" collapsed="false">
      <c r="A206" s="2" t="s">
        <v>598</v>
      </c>
      <c r="B206" s="2"/>
      <c r="C206" s="2" t="s">
        <v>35</v>
      </c>
      <c r="D206" s="2" t="s">
        <v>31</v>
      </c>
      <c r="E206" s="2" t="s">
        <v>599</v>
      </c>
      <c r="F206" s="2" t="n">
        <v>41.3052</v>
      </c>
      <c r="G206" s="2" t="n">
        <v>69.269</v>
      </c>
      <c r="H206" s="2" t="s">
        <v>600</v>
      </c>
      <c r="I206" s="2" t="n">
        <v>2024</v>
      </c>
      <c r="J206" s="2" t="n">
        <v>9.62825465956682</v>
      </c>
      <c r="K206" s="2"/>
      <c r="L206" s="2"/>
      <c r="M206" s="2"/>
      <c r="N206" s="2"/>
      <c r="O206" s="2"/>
      <c r="P206" s="2" t="n">
        <v>0.4</v>
      </c>
      <c r="Q206" s="2"/>
      <c r="R206" s="2"/>
      <c r="S206" s="2"/>
      <c r="T206" s="2"/>
    </row>
    <row r="207" customFormat="false" ht="15" hidden="false" customHeight="false" outlineLevel="0" collapsed="false">
      <c r="A207" s="2" t="s">
        <v>601</v>
      </c>
      <c r="B207" s="2"/>
      <c r="C207" s="2" t="s">
        <v>21</v>
      </c>
      <c r="D207" s="2" t="s">
        <v>36</v>
      </c>
      <c r="E207" s="2" t="s">
        <v>602</v>
      </c>
      <c r="F207" s="2" t="n">
        <v>13.2035</v>
      </c>
      <c r="G207" s="2" t="n">
        <v>-61.2653</v>
      </c>
      <c r="H207" s="2" t="s">
        <v>603</v>
      </c>
      <c r="I207" s="2" t="n">
        <v>2024</v>
      </c>
      <c r="J207" s="2" t="n">
        <v>3.62770736940927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customFormat="false" ht="15" hidden="false" customHeight="false" outlineLevel="0" collapsed="false">
      <c r="A208" s="2" t="s">
        <v>604</v>
      </c>
      <c r="B208" s="2"/>
      <c r="C208" s="2" t="s">
        <v>21</v>
      </c>
      <c r="D208" s="2" t="s">
        <v>31</v>
      </c>
      <c r="E208" s="2" t="s">
        <v>605</v>
      </c>
      <c r="F208" s="2" t="n">
        <v>9.08165</v>
      </c>
      <c r="G208" s="2" t="n">
        <v>-69.8371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customFormat="false" ht="15" hidden="false" customHeight="false" outlineLevel="0" collapsed="false">
      <c r="A209" s="2" t="s">
        <v>606</v>
      </c>
      <c r="B209" s="2"/>
      <c r="C209" s="2" t="s">
        <v>21</v>
      </c>
      <c r="D209" s="2" t="s">
        <v>22</v>
      </c>
      <c r="E209" s="2" t="s">
        <v>607</v>
      </c>
      <c r="F209" s="2" t="n">
        <v>18.431389</v>
      </c>
      <c r="G209" s="2" t="n">
        <v>-64.623056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customFormat="false" ht="15" hidden="false" customHeight="false" outlineLevel="0" collapsed="false">
      <c r="A210" s="2" t="s">
        <v>608</v>
      </c>
      <c r="B210" s="2"/>
      <c r="C210" s="2" t="s">
        <v>21</v>
      </c>
      <c r="D210" s="2" t="s">
        <v>22</v>
      </c>
      <c r="E210" s="2" t="s">
        <v>609</v>
      </c>
      <c r="F210" s="2" t="n">
        <v>18.3358</v>
      </c>
      <c r="G210" s="2" t="n">
        <v>-64.8963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customFormat="false" ht="15" hidden="false" customHeight="false" outlineLevel="0" collapsed="false">
      <c r="A211" s="2" t="s">
        <v>610</v>
      </c>
      <c r="B211" s="2"/>
      <c r="C211" s="2" t="s">
        <v>51</v>
      </c>
      <c r="D211" s="2" t="s">
        <v>36</v>
      </c>
      <c r="E211" s="2" t="s">
        <v>611</v>
      </c>
      <c r="F211" s="2" t="n">
        <v>21.0069</v>
      </c>
      <c r="G211" s="2" t="n">
        <v>105.825</v>
      </c>
      <c r="H211" s="2" t="s">
        <v>612</v>
      </c>
      <c r="I211" s="2" t="n">
        <v>2024</v>
      </c>
      <c r="J211" s="2" t="n">
        <v>3.62109273885844</v>
      </c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customFormat="false" ht="15" hidden="false" customHeight="false" outlineLevel="0" collapsed="false">
      <c r="A212" s="2" t="s">
        <v>613</v>
      </c>
      <c r="B212" s="2"/>
      <c r="C212" s="2" t="s">
        <v>51</v>
      </c>
      <c r="D212" s="2" t="s">
        <v>31</v>
      </c>
      <c r="E212" s="2" t="s">
        <v>614</v>
      </c>
      <c r="F212" s="2" t="n">
        <v>-17.7404</v>
      </c>
      <c r="G212" s="2" t="n">
        <v>168.321</v>
      </c>
      <c r="H212" s="2" t="s">
        <v>615</v>
      </c>
      <c r="I212" s="2" t="n">
        <v>2024</v>
      </c>
      <c r="J212" s="2" t="n">
        <v>1.14348948727412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customFormat="false" ht="15" hidden="false" customHeight="false" outlineLevel="0" collapsed="false">
      <c r="A213" s="2" t="s">
        <v>616</v>
      </c>
      <c r="B213" s="2"/>
      <c r="C213" s="2" t="s">
        <v>51</v>
      </c>
      <c r="D213" s="2" t="s">
        <v>36</v>
      </c>
      <c r="E213" s="2" t="s">
        <v>617</v>
      </c>
      <c r="F213" s="2" t="n">
        <v>-13.8314</v>
      </c>
      <c r="G213" s="2" t="n">
        <v>-171.752</v>
      </c>
      <c r="H213" s="2" t="s">
        <v>618</v>
      </c>
      <c r="I213" s="2" t="n">
        <v>2024</v>
      </c>
      <c r="J213" s="2" t="n">
        <v>2.17245530514377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customFormat="false" ht="15" hidden="false" customHeight="false" outlineLevel="0" collapsed="false">
      <c r="A214" s="2" t="s">
        <v>619</v>
      </c>
      <c r="B214" s="2"/>
      <c r="C214" s="2" t="s">
        <v>35</v>
      </c>
      <c r="D214" s="2" t="s">
        <v>36</v>
      </c>
      <c r="E214" s="2" t="s">
        <v>620</v>
      </c>
      <c r="F214" s="2" t="n">
        <v>42.565</v>
      </c>
      <c r="G214" s="2" t="n">
        <v>20.926</v>
      </c>
      <c r="H214" s="2" t="s">
        <v>621</v>
      </c>
      <c r="I214" s="2" t="n">
        <v>2024</v>
      </c>
      <c r="J214" s="2" t="n">
        <v>1.61944994559476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customFormat="false" ht="15" hidden="false" customHeight="false" outlineLevel="0" collapsed="false">
      <c r="A215" s="2" t="s">
        <v>622</v>
      </c>
      <c r="B215" s="2"/>
      <c r="C215" s="2" t="s">
        <v>25</v>
      </c>
      <c r="D215" s="2" t="s">
        <v>26</v>
      </c>
      <c r="E215" s="2" t="s">
        <v>623</v>
      </c>
      <c r="F215" s="2" t="n">
        <v>15.352</v>
      </c>
      <c r="G215" s="2" t="n">
        <v>44.2075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customFormat="false" ht="15" hidden="false" customHeight="false" outlineLevel="0" collapsed="false">
      <c r="A216" s="2" t="s">
        <v>624</v>
      </c>
      <c r="B216" s="2"/>
      <c r="C216" s="2" t="s">
        <v>30</v>
      </c>
      <c r="D216" s="2" t="s">
        <v>36</v>
      </c>
      <c r="E216" s="2" t="s">
        <v>625</v>
      </c>
      <c r="F216" s="2" t="n">
        <v>-25.746</v>
      </c>
      <c r="G216" s="2" t="n">
        <v>28.1871</v>
      </c>
      <c r="H216" s="2" t="s">
        <v>626</v>
      </c>
      <c r="I216" s="2" t="n">
        <v>2024</v>
      </c>
      <c r="J216" s="2" t="n">
        <v>4.36115246518962</v>
      </c>
      <c r="K216" s="2" t="n">
        <v>50.2</v>
      </c>
      <c r="L216" s="2" t="n">
        <v>15.2</v>
      </c>
      <c r="M216" s="2" t="n">
        <v>48.5</v>
      </c>
      <c r="N216" s="2" t="n">
        <v>49.3</v>
      </c>
      <c r="O216" s="2" t="n">
        <v>65.8</v>
      </c>
      <c r="P216" s="2" t="n">
        <v>1.78</v>
      </c>
      <c r="Q216" s="2" t="n">
        <v>2.68</v>
      </c>
      <c r="R216" s="2" t="n">
        <v>48.5</v>
      </c>
      <c r="S216" s="2" t="n">
        <v>320</v>
      </c>
      <c r="T216" s="2" t="n">
        <v>60</v>
      </c>
    </row>
    <row r="217" customFormat="false" ht="15" hidden="false" customHeight="false" outlineLevel="0" collapsed="false">
      <c r="A217" s="2" t="s">
        <v>627</v>
      </c>
      <c r="B217" s="2"/>
      <c r="C217" s="2" t="s">
        <v>30</v>
      </c>
      <c r="D217" s="2" t="s">
        <v>31</v>
      </c>
      <c r="E217" s="2" t="s">
        <v>628</v>
      </c>
      <c r="F217" s="2" t="n">
        <v>-15.3982</v>
      </c>
      <c r="G217" s="2" t="n">
        <v>28.2937</v>
      </c>
      <c r="H217" s="2" t="s">
        <v>629</v>
      </c>
      <c r="I217" s="2" t="n">
        <v>2024</v>
      </c>
      <c r="J217" s="2" t="n">
        <v>14.9856262747939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customFormat="false" ht="15" hidden="false" customHeight="false" outlineLevel="0" collapsed="false">
      <c r="A218" s="2" t="s">
        <v>630</v>
      </c>
      <c r="B218" s="2"/>
      <c r="C218" s="2" t="s">
        <v>30</v>
      </c>
      <c r="D218" s="2" t="s">
        <v>31</v>
      </c>
      <c r="E218" s="2" t="s">
        <v>631</v>
      </c>
      <c r="F218" s="2" t="n">
        <v>-17.8312</v>
      </c>
      <c r="G218" s="2" t="n">
        <v>31.0672</v>
      </c>
      <c r="H218" s="2" t="s">
        <v>632</v>
      </c>
      <c r="I218" s="2" t="n">
        <v>2022</v>
      </c>
      <c r="J218" s="2" t="n">
        <v>104.705170628667</v>
      </c>
      <c r="K218" s="2"/>
      <c r="L218" s="2"/>
      <c r="M218" s="2"/>
      <c r="N218" s="2"/>
      <c r="O218" s="2"/>
      <c r="P218" s="2"/>
      <c r="Q218" s="2"/>
      <c r="R218" s="2"/>
      <c r="S218" s="2"/>
      <c r="T2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7"/>
    <col collapsed="false" customWidth="true" hidden="false" outlineLevel="0" max="12" min="12" style="0" width="19"/>
    <col collapsed="false" customWidth="true" hidden="false" outlineLevel="0" max="13" min="13" style="0" width="24"/>
    <col collapsed="false" customWidth="true" hidden="false" outlineLevel="0" max="14" min="14" style="0" width="17"/>
    <col collapsed="false" customWidth="true" hidden="false" outlineLevel="0" max="15" min="15" style="0" width="22"/>
    <col collapsed="false" customWidth="true" hidden="false" outlineLevel="0" max="16" min="16" style="0" width="28"/>
    <col collapsed="false" customWidth="true" hidden="false" outlineLevel="0" max="17" min="17" style="0" width="18"/>
    <col collapsed="false" customWidth="true" hidden="false" outlineLevel="0" max="18" min="18" style="0" width="23"/>
    <col collapsed="false" customWidth="true" hidden="false" outlineLevel="0" max="19" min="19" style="0" width="19"/>
    <col collapsed="false" customWidth="true" hidden="false" outlineLevel="0" max="20" min="20" style="0" width="31"/>
    <col collapsed="false" customWidth="true" hidden="true" outlineLevel="0" max="21" min="21" style="0" width="13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633</v>
      </c>
      <c r="T1" s="1" t="s">
        <v>634</v>
      </c>
      <c r="U1" s="3" t="s">
        <v>635</v>
      </c>
    </row>
    <row r="2" customFormat="false" ht="1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n">
        <v>34.5228</v>
      </c>
      <c r="F2" s="2" t="n">
        <v>69.1761</v>
      </c>
      <c r="G2" s="2" t="n">
        <v>2024</v>
      </c>
      <c r="H2" s="2" t="n">
        <v>-6.6</v>
      </c>
      <c r="I2" s="2" t="n">
        <v>38.2</v>
      </c>
      <c r="J2" s="2" t="n">
        <v>8.2</v>
      </c>
      <c r="K2" s="2" t="n">
        <v>36.8</v>
      </c>
      <c r="L2" s="2" t="n">
        <v>36.9</v>
      </c>
      <c r="M2" s="2" t="n">
        <v>48.5</v>
      </c>
      <c r="N2" s="2" t="n">
        <v>0.88</v>
      </c>
      <c r="O2" s="2" t="n">
        <v>1.05</v>
      </c>
      <c r="P2" s="2" t="n">
        <v>12.8</v>
      </c>
      <c r="Q2" s="2" t="n">
        <v>85</v>
      </c>
      <c r="R2" s="2" t="n">
        <v>20</v>
      </c>
      <c r="S2" s="2" t="s">
        <v>636</v>
      </c>
      <c r="T2" s="2" t="n">
        <v>69.4</v>
      </c>
      <c r="U2" s="2" t="n">
        <f aca="false">T2+(ROW()-2)*0.0000001</f>
        <v>69.4</v>
      </c>
    </row>
    <row r="3" customFormat="false" ht="15" hidden="false" customHeight="false" outlineLevel="0" collapsed="false">
      <c r="A3" s="2" t="s">
        <v>34</v>
      </c>
      <c r="B3" s="2" t="s">
        <v>35</v>
      </c>
      <c r="C3" s="2" t="s">
        <v>36</v>
      </c>
      <c r="D3" s="2" t="s">
        <v>37</v>
      </c>
      <c r="E3" s="2" t="n">
        <v>41.3317</v>
      </c>
      <c r="F3" s="2" t="n">
        <v>19.8172</v>
      </c>
      <c r="G3" s="2" t="n">
        <v>2024</v>
      </c>
      <c r="H3" s="2" t="n">
        <v>2.22</v>
      </c>
      <c r="I3" s="2"/>
      <c r="J3" s="2"/>
      <c r="K3" s="2"/>
      <c r="L3" s="2"/>
      <c r="M3" s="2"/>
      <c r="N3" s="2"/>
      <c r="O3" s="2"/>
      <c r="P3" s="2"/>
      <c r="Q3" s="2"/>
      <c r="R3" s="2"/>
      <c r="S3" s="2" t="s">
        <v>637</v>
      </c>
      <c r="T3" s="2" t="n">
        <v>56.8</v>
      </c>
      <c r="U3" s="2" t="n">
        <f aca="false">T3+(ROW()-2)*0.0000001</f>
        <v>56.8000001</v>
      </c>
    </row>
    <row r="4" customFormat="false" ht="15" hidden="false" customHeight="false" outlineLevel="0" collapsed="false">
      <c r="A4" s="2" t="s">
        <v>185</v>
      </c>
      <c r="B4" s="2" t="s">
        <v>25</v>
      </c>
      <c r="C4" s="2" t="s">
        <v>36</v>
      </c>
      <c r="D4" s="2" t="s">
        <v>186</v>
      </c>
      <c r="E4" s="2" t="n">
        <v>36.7397</v>
      </c>
      <c r="F4" s="2" t="n">
        <v>3.05097</v>
      </c>
      <c r="G4" s="2" t="n">
        <v>2024</v>
      </c>
      <c r="H4" s="2" t="n">
        <v>4.05</v>
      </c>
      <c r="I4" s="2"/>
      <c r="J4" s="2"/>
      <c r="K4" s="2"/>
      <c r="L4" s="2"/>
      <c r="M4" s="2"/>
      <c r="N4" s="2"/>
      <c r="O4" s="2"/>
      <c r="P4" s="2"/>
      <c r="Q4" s="2"/>
      <c r="R4" s="2"/>
      <c r="S4" s="2" t="s">
        <v>637</v>
      </c>
      <c r="T4" s="2" t="n">
        <v>56.3</v>
      </c>
      <c r="U4" s="2" t="n">
        <f aca="false">T4+(ROW()-2)*0.0000001</f>
        <v>56.3000002</v>
      </c>
    </row>
    <row r="5" customFormat="false" ht="15" hidden="false" customHeight="false" outlineLevel="0" collapsed="false">
      <c r="A5" s="2" t="s">
        <v>50</v>
      </c>
      <c r="B5" s="2" t="s">
        <v>51</v>
      </c>
      <c r="C5" s="2" t="s">
        <v>22</v>
      </c>
      <c r="D5" s="2" t="s">
        <v>52</v>
      </c>
      <c r="E5" s="2" t="n">
        <v>-14.2846</v>
      </c>
      <c r="F5" s="2" t="n">
        <v>-170.691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 t="s">
        <v>638</v>
      </c>
      <c r="T5" s="2" t="n">
        <v>54.5</v>
      </c>
      <c r="U5" s="2" t="n">
        <f aca="false">T5+(ROW()-2)*0.0000001</f>
        <v>54.5000003</v>
      </c>
    </row>
    <row r="6" customFormat="false" ht="15" hidden="false" customHeight="false" outlineLevel="0" collapsed="false">
      <c r="A6" s="2" t="s">
        <v>39</v>
      </c>
      <c r="B6" s="2" t="s">
        <v>35</v>
      </c>
      <c r="C6" s="2" t="s">
        <v>22</v>
      </c>
      <c r="D6" s="2" t="s">
        <v>40</v>
      </c>
      <c r="E6" s="2" t="n">
        <v>42.5075</v>
      </c>
      <c r="F6" s="2" t="n">
        <v>1.5218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 t="s">
        <v>638</v>
      </c>
      <c r="T6" s="2" t="n">
        <v>54.5</v>
      </c>
      <c r="U6" s="2" t="n">
        <f aca="false">T6+(ROW()-2)*0.0000001</f>
        <v>54.5000004</v>
      </c>
    </row>
    <row r="7" customFormat="false" ht="15" hidden="false" customHeight="false" outlineLevel="0" collapsed="false">
      <c r="A7" s="2" t="s">
        <v>29</v>
      </c>
      <c r="B7" s="2" t="s">
        <v>639</v>
      </c>
      <c r="C7" s="2" t="s">
        <v>31</v>
      </c>
      <c r="D7" s="2" t="s">
        <v>32</v>
      </c>
      <c r="E7" s="2" t="n">
        <v>-8.81155</v>
      </c>
      <c r="F7" s="2" t="n">
        <v>13.242</v>
      </c>
      <c r="G7" s="2" t="n">
        <v>2024</v>
      </c>
      <c r="H7" s="2" t="n">
        <v>28.24</v>
      </c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637</v>
      </c>
      <c r="T7" s="2" t="n">
        <v>49</v>
      </c>
      <c r="U7" s="2" t="n">
        <f aca="false">T7+(ROW()-2)*0.0000001</f>
        <v>49.0000005</v>
      </c>
    </row>
    <row r="8" customFormat="false" ht="15" hidden="false" customHeight="false" outlineLevel="0" collapsed="false">
      <c r="A8" s="2" t="s">
        <v>53</v>
      </c>
      <c r="B8" s="2" t="s">
        <v>640</v>
      </c>
      <c r="C8" s="2" t="s">
        <v>22</v>
      </c>
      <c r="D8" s="2" t="s">
        <v>54</v>
      </c>
      <c r="E8" s="2" t="n">
        <v>17.1175</v>
      </c>
      <c r="F8" s="2" t="n">
        <v>-61.8456</v>
      </c>
      <c r="G8" s="2" t="n">
        <v>2024</v>
      </c>
      <c r="H8" s="2" t="n">
        <v>6.2</v>
      </c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637</v>
      </c>
      <c r="T8" s="2" t="n">
        <v>55.6</v>
      </c>
      <c r="U8" s="2" t="n">
        <f aca="false">T8+(ROW()-2)*0.0000001</f>
        <v>55.6000006</v>
      </c>
    </row>
    <row r="9" customFormat="false" ht="15" hidden="false" customHeight="false" outlineLevel="0" collapsed="false">
      <c r="A9" s="2" t="s">
        <v>44</v>
      </c>
      <c r="B9" s="2" t="s">
        <v>640</v>
      </c>
      <c r="C9" s="2" t="s">
        <v>36</v>
      </c>
      <c r="D9" s="2" t="s">
        <v>45</v>
      </c>
      <c r="E9" s="2" t="n">
        <v>-34.6118</v>
      </c>
      <c r="F9" s="2" t="n">
        <v>-58.4173</v>
      </c>
      <c r="G9" s="2" t="n">
        <v>2024</v>
      </c>
      <c r="H9" s="2" t="n">
        <v>219.88</v>
      </c>
      <c r="I9" s="2"/>
      <c r="J9" s="2"/>
      <c r="K9" s="2"/>
      <c r="L9" s="2"/>
      <c r="M9" s="2"/>
      <c r="N9" s="2"/>
      <c r="O9" s="2"/>
      <c r="P9" s="2"/>
      <c r="Q9" s="2"/>
      <c r="R9" s="2"/>
      <c r="S9" s="2" t="s">
        <v>637</v>
      </c>
      <c r="T9" s="2" t="n">
        <v>42.5</v>
      </c>
      <c r="U9" s="2" t="n">
        <f aca="false">T9+(ROW()-2)*0.0000001</f>
        <v>42.5000007</v>
      </c>
    </row>
    <row r="10" customFormat="false" ht="15" hidden="false" customHeight="false" outlineLevel="0" collapsed="false">
      <c r="A10" s="2" t="s">
        <v>47</v>
      </c>
      <c r="B10" s="2" t="s">
        <v>35</v>
      </c>
      <c r="C10" s="2" t="s">
        <v>36</v>
      </c>
      <c r="D10" s="2" t="s">
        <v>48</v>
      </c>
      <c r="E10" s="2" t="n">
        <v>40.1596</v>
      </c>
      <c r="F10" s="2" t="n">
        <v>44.509</v>
      </c>
      <c r="G10" s="2" t="n">
        <v>2024</v>
      </c>
      <c r="H10" s="2" t="n">
        <v>0.27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 t="s">
        <v>637</v>
      </c>
      <c r="T10" s="2" t="n">
        <v>57.4</v>
      </c>
      <c r="U10" s="2" t="n">
        <f aca="false">T10+(ROW()-2)*0.0000001</f>
        <v>57.4000008</v>
      </c>
    </row>
    <row r="11" customFormat="false" ht="15" hidden="false" customHeight="false" outlineLevel="0" collapsed="false">
      <c r="A11" s="2" t="s">
        <v>20</v>
      </c>
      <c r="B11" s="2" t="s">
        <v>640</v>
      </c>
      <c r="C11" s="2" t="s">
        <v>22</v>
      </c>
      <c r="D11" s="2" t="s">
        <v>23</v>
      </c>
      <c r="E11" s="2" t="n">
        <v>12.5167</v>
      </c>
      <c r="F11" s="2" t="n">
        <v>-70.0167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 t="s">
        <v>638</v>
      </c>
      <c r="T11" s="2" t="n">
        <v>54.5</v>
      </c>
      <c r="U11" s="2" t="n">
        <f aca="false">T11+(ROW()-2)*0.0000001</f>
        <v>54.5000009</v>
      </c>
    </row>
    <row r="12" customFormat="false" ht="15" hidden="false" customHeight="false" outlineLevel="0" collapsed="false">
      <c r="A12" s="2" t="s">
        <v>56</v>
      </c>
      <c r="B12" s="2" t="s">
        <v>51</v>
      </c>
      <c r="C12" s="2" t="s">
        <v>22</v>
      </c>
      <c r="D12" s="2" t="s">
        <v>57</v>
      </c>
      <c r="E12" s="2" t="n">
        <v>-35.282</v>
      </c>
      <c r="F12" s="2" t="n">
        <v>149.129</v>
      </c>
      <c r="G12" s="2" t="n">
        <v>2024</v>
      </c>
      <c r="H12" s="2" t="n">
        <v>3.17</v>
      </c>
      <c r="I12" s="2" t="n">
        <v>69.5</v>
      </c>
      <c r="J12" s="2" t="n">
        <v>32.8</v>
      </c>
      <c r="K12" s="2" t="n">
        <v>65.4</v>
      </c>
      <c r="L12" s="2" t="n">
        <v>68.9</v>
      </c>
      <c r="M12" s="2" t="n">
        <v>95.6</v>
      </c>
      <c r="N12" s="2" t="n">
        <v>3.25</v>
      </c>
      <c r="O12" s="2"/>
      <c r="P12" s="2"/>
      <c r="Q12" s="2" t="n">
        <v>1450</v>
      </c>
      <c r="R12" s="2" t="n">
        <v>140</v>
      </c>
      <c r="S12" s="2" t="s">
        <v>636</v>
      </c>
      <c r="T12" s="2" t="n">
        <v>68.3</v>
      </c>
      <c r="U12" s="2" t="n">
        <f aca="false">T12+(ROW()-2)*0.0000001</f>
        <v>68.300001</v>
      </c>
    </row>
    <row r="13" customFormat="false" ht="15" hidden="false" customHeight="false" outlineLevel="0" collapsed="false">
      <c r="A13" s="2" t="s">
        <v>59</v>
      </c>
      <c r="B13" s="2" t="s">
        <v>35</v>
      </c>
      <c r="C13" s="2" t="s">
        <v>22</v>
      </c>
      <c r="D13" s="2" t="s">
        <v>60</v>
      </c>
      <c r="E13" s="2" t="n">
        <v>48.2201</v>
      </c>
      <c r="F13" s="2" t="n">
        <v>16.3798</v>
      </c>
      <c r="G13" s="2" t="n">
        <v>2024</v>
      </c>
      <c r="H13" s="2" t="n">
        <v>2.94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 t="s">
        <v>637</v>
      </c>
      <c r="T13" s="2" t="n">
        <v>56.6</v>
      </c>
      <c r="U13" s="2" t="n">
        <f aca="false">T13+(ROW()-2)*0.0000001</f>
        <v>56.6000011</v>
      </c>
    </row>
    <row r="14" customFormat="false" ht="15" hidden="false" customHeight="false" outlineLevel="0" collapsed="false">
      <c r="A14" s="2" t="s">
        <v>62</v>
      </c>
      <c r="B14" s="2" t="s">
        <v>35</v>
      </c>
      <c r="C14" s="2" t="s">
        <v>36</v>
      </c>
      <c r="D14" s="2" t="s">
        <v>63</v>
      </c>
      <c r="E14" s="2" t="n">
        <v>40.3834</v>
      </c>
      <c r="F14" s="2" t="n">
        <v>49.8932</v>
      </c>
      <c r="G14" s="2" t="n">
        <v>2024</v>
      </c>
      <c r="H14" s="2" t="n">
        <v>2.21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 t="s">
        <v>637</v>
      </c>
      <c r="T14" s="2" t="n">
        <v>56.8</v>
      </c>
      <c r="U14" s="2" t="n">
        <f aca="false">T14+(ROW()-2)*0.0000001</f>
        <v>56.8000012</v>
      </c>
    </row>
    <row r="15" customFormat="false" ht="15" hidden="false" customHeight="false" outlineLevel="0" collapsed="false">
      <c r="A15" s="2" t="s">
        <v>87</v>
      </c>
      <c r="B15" s="2" t="s">
        <v>640</v>
      </c>
      <c r="C15" s="2" t="s">
        <v>22</v>
      </c>
      <c r="D15" s="2" t="s">
        <v>88</v>
      </c>
      <c r="E15" s="2" t="n">
        <v>25.0661</v>
      </c>
      <c r="F15" s="2" t="n">
        <v>-77.339</v>
      </c>
      <c r="G15" s="2" t="n">
        <v>2024</v>
      </c>
      <c r="H15" s="2" t="n">
        <v>0.41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 t="s">
        <v>637</v>
      </c>
      <c r="T15" s="2" t="n">
        <v>57.4</v>
      </c>
      <c r="U15" s="2" t="n">
        <f aca="false">T15+(ROW()-2)*0.0000001</f>
        <v>57.4000013</v>
      </c>
    </row>
    <row r="16" customFormat="false" ht="15" hidden="false" customHeight="false" outlineLevel="0" collapsed="false">
      <c r="A16" s="2" t="s">
        <v>84</v>
      </c>
      <c r="B16" s="2" t="s">
        <v>25</v>
      </c>
      <c r="C16" s="2" t="s">
        <v>22</v>
      </c>
      <c r="D16" s="2" t="s">
        <v>85</v>
      </c>
      <c r="E16" s="2" t="n">
        <v>26.1921</v>
      </c>
      <c r="F16" s="2" t="n">
        <v>50.5354</v>
      </c>
      <c r="G16" s="2" t="n">
        <v>2024</v>
      </c>
      <c r="H16" s="2" t="n">
        <v>0.92</v>
      </c>
      <c r="I16" s="2" t="n">
        <v>65.2</v>
      </c>
      <c r="J16" s="2" t="n">
        <v>26.1</v>
      </c>
      <c r="K16" s="2" t="n">
        <v>61.8</v>
      </c>
      <c r="L16" s="2" t="n">
        <v>63.5</v>
      </c>
      <c r="M16" s="2" t="n">
        <v>86.2</v>
      </c>
      <c r="N16" s="2"/>
      <c r="O16" s="2"/>
      <c r="P16" s="2"/>
      <c r="Q16" s="2" t="n">
        <v>600</v>
      </c>
      <c r="R16" s="2"/>
      <c r="S16" s="2" t="s">
        <v>636</v>
      </c>
      <c r="T16" s="2" t="n">
        <v>68.2</v>
      </c>
      <c r="U16" s="2" t="n">
        <f aca="false">T16+(ROW()-2)*0.0000001</f>
        <v>68.2000014</v>
      </c>
    </row>
    <row r="17" customFormat="false" ht="15" hidden="false" customHeight="false" outlineLevel="0" collapsed="false">
      <c r="A17" s="2" t="s">
        <v>77</v>
      </c>
      <c r="B17" s="2" t="s">
        <v>78</v>
      </c>
      <c r="C17" s="2" t="s">
        <v>31</v>
      </c>
      <c r="D17" s="2" t="s">
        <v>79</v>
      </c>
      <c r="E17" s="2" t="n">
        <v>23.7055</v>
      </c>
      <c r="F17" s="2" t="n">
        <v>90.4113</v>
      </c>
      <c r="G17" s="2" t="n">
        <v>2024</v>
      </c>
      <c r="H17" s="2" t="n">
        <v>10.47</v>
      </c>
      <c r="I17" s="2" t="n">
        <v>39.5</v>
      </c>
      <c r="J17" s="2" t="n">
        <v>8.8</v>
      </c>
      <c r="K17" s="2" t="n">
        <v>38.1</v>
      </c>
      <c r="L17" s="2" t="n">
        <v>38.2</v>
      </c>
      <c r="M17" s="2" t="n">
        <v>50.8</v>
      </c>
      <c r="N17" s="2" t="n">
        <v>0.95</v>
      </c>
      <c r="O17" s="2" t="n">
        <v>1.18</v>
      </c>
      <c r="P17" s="2" t="n">
        <v>14.5</v>
      </c>
      <c r="Q17" s="2" t="n">
        <v>100</v>
      </c>
      <c r="R17" s="2" t="n">
        <v>25</v>
      </c>
      <c r="S17" s="2" t="s">
        <v>636</v>
      </c>
      <c r="T17" s="2" t="n">
        <v>64.5</v>
      </c>
      <c r="U17" s="2" t="n">
        <f aca="false">T17+(ROW()-2)*0.0000001</f>
        <v>64.5000015</v>
      </c>
    </row>
    <row r="18" customFormat="false" ht="15" hidden="false" customHeight="false" outlineLevel="0" collapsed="false">
      <c r="A18" s="2" t="s">
        <v>108</v>
      </c>
      <c r="B18" s="2" t="s">
        <v>640</v>
      </c>
      <c r="C18" s="2" t="s">
        <v>22</v>
      </c>
      <c r="D18" s="2" t="s">
        <v>109</v>
      </c>
      <c r="E18" s="2" t="n">
        <v>13.0935</v>
      </c>
      <c r="F18" s="2" t="n">
        <v>-59.6105</v>
      </c>
      <c r="G18" s="2" t="n">
        <v>2024</v>
      </c>
      <c r="H18" s="2" t="n">
        <v>1.45</v>
      </c>
      <c r="I18" s="2" t="n">
        <v>75.2</v>
      </c>
      <c r="J18" s="2" t="n">
        <v>41.8</v>
      </c>
      <c r="K18" s="2" t="n">
        <v>70.8</v>
      </c>
      <c r="L18" s="2" t="n">
        <v>73.2</v>
      </c>
      <c r="M18" s="2" t="n">
        <v>88.5</v>
      </c>
      <c r="N18" s="2"/>
      <c r="O18" s="2"/>
      <c r="P18" s="2"/>
      <c r="Q18" s="2" t="n">
        <v>1200</v>
      </c>
      <c r="R18" s="2"/>
      <c r="S18" s="2" t="s">
        <v>636</v>
      </c>
      <c r="T18" s="2" t="n">
        <v>62.9</v>
      </c>
      <c r="U18" s="2" t="n">
        <f aca="false">T18+(ROW()-2)*0.0000001</f>
        <v>62.9000016</v>
      </c>
    </row>
    <row r="19" customFormat="false" ht="15" hidden="false" customHeight="false" outlineLevel="0" collapsed="false">
      <c r="A19" s="2" t="s">
        <v>93</v>
      </c>
      <c r="B19" s="2" t="s">
        <v>35</v>
      </c>
      <c r="C19" s="2" t="s">
        <v>36</v>
      </c>
      <c r="D19" s="2" t="s">
        <v>94</v>
      </c>
      <c r="E19" s="2" t="n">
        <v>53.9678</v>
      </c>
      <c r="F19" s="2" t="n">
        <v>27.5766</v>
      </c>
      <c r="G19" s="2" t="n">
        <v>2024</v>
      </c>
      <c r="H19" s="2" t="n">
        <v>5.79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 t="s">
        <v>637</v>
      </c>
      <c r="T19" s="2" t="n">
        <v>55.8</v>
      </c>
      <c r="U19" s="2" t="n">
        <f aca="false">T19+(ROW()-2)*0.0000001</f>
        <v>55.8000017</v>
      </c>
    </row>
    <row r="20" customFormat="false" ht="15" hidden="false" customHeight="false" outlineLevel="0" collapsed="false">
      <c r="A20" s="2" t="s">
        <v>68</v>
      </c>
      <c r="B20" s="2" t="s">
        <v>35</v>
      </c>
      <c r="C20" s="2" t="s">
        <v>22</v>
      </c>
      <c r="D20" s="2" t="s">
        <v>69</v>
      </c>
      <c r="E20" s="2" t="n">
        <v>50.8371</v>
      </c>
      <c r="F20" s="2" t="n">
        <v>4.36761</v>
      </c>
      <c r="G20" s="2" t="n">
        <v>2024</v>
      </c>
      <c r="H20" s="2" t="n">
        <v>3.14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637</v>
      </c>
      <c r="T20" s="2" t="n">
        <v>56.6</v>
      </c>
      <c r="U20" s="2" t="n">
        <f aca="false">T20+(ROW()-2)*0.0000001</f>
        <v>56.6000018</v>
      </c>
    </row>
    <row r="21" customFormat="false" ht="15" hidden="false" customHeight="false" outlineLevel="0" collapsed="false">
      <c r="A21" s="2" t="s">
        <v>96</v>
      </c>
      <c r="B21" s="2" t="s">
        <v>640</v>
      </c>
      <c r="C21" s="2" t="s">
        <v>36</v>
      </c>
      <c r="D21" s="2" t="s">
        <v>97</v>
      </c>
      <c r="E21" s="2" t="n">
        <v>17.2534</v>
      </c>
      <c r="F21" s="2" t="n">
        <v>-88.7713</v>
      </c>
      <c r="G21" s="2" t="n">
        <v>2024</v>
      </c>
      <c r="H21" s="2" t="n">
        <v>3.29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 t="s">
        <v>637</v>
      </c>
      <c r="T21" s="2" t="n">
        <v>56.5</v>
      </c>
      <c r="U21" s="2" t="n">
        <f aca="false">T21+(ROW()-2)*0.0000001</f>
        <v>56.5000019</v>
      </c>
    </row>
    <row r="22" customFormat="false" ht="15" hidden="false" customHeight="false" outlineLevel="0" collapsed="false">
      <c r="A22" s="2" t="s">
        <v>71</v>
      </c>
      <c r="B22" s="2" t="s">
        <v>639</v>
      </c>
      <c r="C22" s="2" t="s">
        <v>31</v>
      </c>
      <c r="D22" s="2" t="s">
        <v>72</v>
      </c>
      <c r="E22" s="2" t="n">
        <v>6.4779</v>
      </c>
      <c r="F22" s="2" t="n">
        <v>2.6323</v>
      </c>
      <c r="G22" s="2" t="n">
        <v>2024</v>
      </c>
      <c r="H22" s="2" t="n">
        <v>1.16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637</v>
      </c>
      <c r="T22" s="2" t="n">
        <v>57.2</v>
      </c>
      <c r="U22" s="2" t="n">
        <f aca="false">T22+(ROW()-2)*0.0000001</f>
        <v>57.200002</v>
      </c>
    </row>
    <row r="23" customFormat="false" ht="15" hidden="false" customHeight="false" outlineLevel="0" collapsed="false">
      <c r="A23" s="2" t="s">
        <v>99</v>
      </c>
      <c r="B23" s="2" t="s">
        <v>100</v>
      </c>
      <c r="C23" s="2" t="s">
        <v>22</v>
      </c>
      <c r="D23" s="2" t="s">
        <v>101</v>
      </c>
      <c r="E23" s="2" t="n">
        <v>32.3293</v>
      </c>
      <c r="F23" s="2" t="n">
        <v>-64.706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 t="s">
        <v>638</v>
      </c>
      <c r="T23" s="2" t="n">
        <v>54.5</v>
      </c>
      <c r="U23" s="2" t="n">
        <f aca="false">T23+(ROW()-2)*0.0000001</f>
        <v>54.5000021</v>
      </c>
    </row>
    <row r="24" customFormat="false" ht="15" hidden="false" customHeight="false" outlineLevel="0" collapsed="false">
      <c r="A24" s="2" t="s">
        <v>114</v>
      </c>
      <c r="B24" s="2" t="s">
        <v>78</v>
      </c>
      <c r="C24" s="2" t="s">
        <v>31</v>
      </c>
      <c r="D24" s="2" t="s">
        <v>115</v>
      </c>
      <c r="E24" s="2" t="n">
        <v>27.5768</v>
      </c>
      <c r="F24" s="2" t="n">
        <v>89.6177</v>
      </c>
      <c r="G24" s="2" t="n">
        <v>2024</v>
      </c>
      <c r="H24" s="2" t="n">
        <v>2.76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 t="s">
        <v>637</v>
      </c>
      <c r="T24" s="2" t="n">
        <v>56.7</v>
      </c>
      <c r="U24" s="2" t="n">
        <f aca="false">T24+(ROW()-2)*0.0000001</f>
        <v>56.7000022</v>
      </c>
    </row>
    <row r="25" customFormat="false" ht="15" hidden="false" customHeight="false" outlineLevel="0" collapsed="false">
      <c r="A25" s="2" t="s">
        <v>102</v>
      </c>
      <c r="B25" s="2" t="s">
        <v>640</v>
      </c>
      <c r="C25" s="2" t="s">
        <v>31</v>
      </c>
      <c r="D25" s="2" t="s">
        <v>103</v>
      </c>
      <c r="E25" s="2" t="n">
        <v>-13.9908</v>
      </c>
      <c r="F25" s="2" t="n">
        <v>-66.1936</v>
      </c>
      <c r="G25" s="2" t="n">
        <v>2024</v>
      </c>
      <c r="H25" s="2" t="n">
        <v>5.1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637</v>
      </c>
      <c r="T25" s="2" t="n">
        <v>56</v>
      </c>
      <c r="U25" s="2" t="n">
        <f aca="false">T25+(ROW()-2)*0.0000001</f>
        <v>56.0000023</v>
      </c>
    </row>
    <row r="26" customFormat="false" ht="15" hidden="false" customHeight="false" outlineLevel="0" collapsed="false">
      <c r="A26" s="2" t="s">
        <v>90</v>
      </c>
      <c r="B26" s="2" t="s">
        <v>35</v>
      </c>
      <c r="C26" s="2" t="s">
        <v>36</v>
      </c>
      <c r="D26" s="2" t="s">
        <v>91</v>
      </c>
      <c r="E26" s="2" t="n">
        <v>43.8607</v>
      </c>
      <c r="F26" s="2" t="n">
        <v>18.4214</v>
      </c>
      <c r="G26" s="2" t="n">
        <v>2023</v>
      </c>
      <c r="H26" s="2" t="n">
        <v>6.11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 t="s">
        <v>637</v>
      </c>
      <c r="T26" s="2" t="n">
        <v>55.7</v>
      </c>
      <c r="U26" s="2" t="n">
        <f aca="false">T26+(ROW()-2)*0.0000001</f>
        <v>55.7000024</v>
      </c>
    </row>
    <row r="27" customFormat="false" ht="15" hidden="false" customHeight="false" outlineLevel="0" collapsed="false">
      <c r="A27" s="2" t="s">
        <v>117</v>
      </c>
      <c r="B27" s="2" t="s">
        <v>639</v>
      </c>
      <c r="C27" s="2" t="s">
        <v>36</v>
      </c>
      <c r="D27" s="2" t="s">
        <v>118</v>
      </c>
      <c r="E27" s="2" t="n">
        <v>-24.6544</v>
      </c>
      <c r="F27" s="2" t="n">
        <v>25.9201</v>
      </c>
      <c r="G27" s="2" t="n">
        <v>2024</v>
      </c>
      <c r="H27" s="2" t="n">
        <v>2.82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 t="s">
        <v>637</v>
      </c>
      <c r="T27" s="2" t="n">
        <v>56.7</v>
      </c>
      <c r="U27" s="2" t="n">
        <f aca="false">T27+(ROW()-2)*0.0000001</f>
        <v>56.7000025</v>
      </c>
    </row>
    <row r="28" customFormat="false" ht="15" hidden="false" customHeight="false" outlineLevel="0" collapsed="false">
      <c r="A28" s="2" t="s">
        <v>105</v>
      </c>
      <c r="B28" s="2" t="s">
        <v>640</v>
      </c>
      <c r="C28" s="2" t="s">
        <v>36</v>
      </c>
      <c r="D28" s="2" t="s">
        <v>106</v>
      </c>
      <c r="E28" s="2" t="n">
        <v>-15.7801</v>
      </c>
      <c r="F28" s="2" t="n">
        <v>-47.9292</v>
      </c>
      <c r="G28" s="2" t="n">
        <v>2024</v>
      </c>
      <c r="H28" s="2" t="n">
        <v>4.37</v>
      </c>
      <c r="I28" s="2" t="n">
        <v>51.4</v>
      </c>
      <c r="J28" s="2" t="n">
        <v>15.9</v>
      </c>
      <c r="K28" s="2" t="n">
        <v>49.2</v>
      </c>
      <c r="L28" s="2" t="n">
        <v>50.1</v>
      </c>
      <c r="M28" s="2" t="n">
        <v>67.5</v>
      </c>
      <c r="N28" s="2" t="n">
        <v>1.85</v>
      </c>
      <c r="O28" s="2" t="n">
        <v>2.85</v>
      </c>
      <c r="P28" s="2" t="n">
        <v>52.4</v>
      </c>
      <c r="Q28" s="2" t="n">
        <v>270</v>
      </c>
      <c r="R28" s="2" t="n">
        <v>70</v>
      </c>
      <c r="S28" s="2" t="s">
        <v>636</v>
      </c>
      <c r="T28" s="2" t="n">
        <v>66.9</v>
      </c>
      <c r="U28" s="2" t="n">
        <f aca="false">T28+(ROW()-2)*0.0000001</f>
        <v>66.9000026</v>
      </c>
    </row>
    <row r="29" customFormat="false" ht="15" hidden="false" customHeight="false" outlineLevel="0" collapsed="false">
      <c r="A29" s="2" t="s">
        <v>606</v>
      </c>
      <c r="B29" s="2" t="s">
        <v>640</v>
      </c>
      <c r="C29" s="2" t="s">
        <v>22</v>
      </c>
      <c r="D29" s="2" t="s">
        <v>607</v>
      </c>
      <c r="E29" s="2" t="n">
        <v>18.431389</v>
      </c>
      <c r="F29" s="2" t="n">
        <v>-64.623056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 t="s">
        <v>638</v>
      </c>
      <c r="T29" s="2" t="n">
        <v>54.5</v>
      </c>
      <c r="U29" s="2" t="n">
        <f aca="false">T29+(ROW()-2)*0.0000001</f>
        <v>54.5000027</v>
      </c>
    </row>
    <row r="30" customFormat="false" ht="15" hidden="false" customHeight="false" outlineLevel="0" collapsed="false">
      <c r="A30" s="2" t="s">
        <v>111</v>
      </c>
      <c r="B30" s="2" t="s">
        <v>51</v>
      </c>
      <c r="C30" s="2" t="s">
        <v>22</v>
      </c>
      <c r="D30" s="2" t="s">
        <v>112</v>
      </c>
      <c r="E30" s="2" t="n">
        <v>4.94199</v>
      </c>
      <c r="F30" s="2" t="n">
        <v>114.946</v>
      </c>
      <c r="G30" s="2" t="n">
        <v>2024</v>
      </c>
      <c r="H30" s="2" t="n">
        <v>-0.39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 t="s">
        <v>637</v>
      </c>
      <c r="T30" s="2" t="n">
        <v>57.6</v>
      </c>
      <c r="U30" s="2" t="n">
        <f aca="false">T30+(ROW()-2)*0.0000001</f>
        <v>57.6000028</v>
      </c>
    </row>
    <row r="31" customFormat="false" ht="15" hidden="false" customHeight="false" outlineLevel="0" collapsed="false">
      <c r="A31" s="2" t="s">
        <v>81</v>
      </c>
      <c r="B31" s="2" t="s">
        <v>35</v>
      </c>
      <c r="C31" s="2" t="s">
        <v>22</v>
      </c>
      <c r="D31" s="2" t="s">
        <v>82</v>
      </c>
      <c r="E31" s="2" t="n">
        <v>42.7105</v>
      </c>
      <c r="F31" s="2" t="n">
        <v>23.3238</v>
      </c>
      <c r="G31" s="2" t="n">
        <v>2024</v>
      </c>
      <c r="H31" s="2" t="n">
        <v>2.45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 t="s">
        <v>637</v>
      </c>
      <c r="T31" s="2" t="n">
        <v>56.8</v>
      </c>
      <c r="U31" s="2" t="n">
        <f aca="false">T31+(ROW()-2)*0.0000001</f>
        <v>56.8000029</v>
      </c>
    </row>
    <row r="32" customFormat="false" ht="15" hidden="false" customHeight="false" outlineLevel="0" collapsed="false">
      <c r="A32" s="2" t="s">
        <v>74</v>
      </c>
      <c r="B32" s="2" t="s">
        <v>639</v>
      </c>
      <c r="C32" s="2" t="s">
        <v>26</v>
      </c>
      <c r="D32" s="2" t="s">
        <v>75</v>
      </c>
      <c r="E32" s="2" t="n">
        <v>12.3605</v>
      </c>
      <c r="F32" s="2" t="n">
        <v>-1.53395</v>
      </c>
      <c r="G32" s="2" t="n">
        <v>2024</v>
      </c>
      <c r="H32" s="2" t="n">
        <v>4.19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 t="s">
        <v>637</v>
      </c>
      <c r="T32" s="2" t="n">
        <v>56.2</v>
      </c>
      <c r="U32" s="2" t="n">
        <f aca="false">T32+(ROW()-2)*0.0000001</f>
        <v>56.200003</v>
      </c>
    </row>
    <row r="33" customFormat="false" ht="15" hidden="false" customHeight="false" outlineLevel="0" collapsed="false">
      <c r="A33" s="2" t="s">
        <v>65</v>
      </c>
      <c r="B33" s="2" t="s">
        <v>639</v>
      </c>
      <c r="C33" s="2" t="s">
        <v>26</v>
      </c>
      <c r="D33" s="2" t="s">
        <v>66</v>
      </c>
      <c r="E33" s="2" t="n">
        <v>-3.3784</v>
      </c>
      <c r="F33" s="2" t="n">
        <v>29.3639</v>
      </c>
      <c r="G33" s="2" t="n">
        <v>2024</v>
      </c>
      <c r="H33" s="2" t="n">
        <v>20.21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 t="s">
        <v>637</v>
      </c>
      <c r="T33" s="2" t="n">
        <v>51.4</v>
      </c>
      <c r="U33" s="2" t="n">
        <f aca="false">T33+(ROW()-2)*0.0000001</f>
        <v>51.4000031</v>
      </c>
    </row>
    <row r="34" customFormat="false" ht="15" hidden="false" customHeight="false" outlineLevel="0" collapsed="false">
      <c r="A34" s="2" t="s">
        <v>153</v>
      </c>
      <c r="B34" s="2" t="s">
        <v>639</v>
      </c>
      <c r="C34" s="2" t="s">
        <v>36</v>
      </c>
      <c r="D34" s="2" t="s">
        <v>154</v>
      </c>
      <c r="E34" s="2" t="n">
        <v>14.9218</v>
      </c>
      <c r="F34" s="2" t="n">
        <v>-23.5087</v>
      </c>
      <c r="G34" s="2" t="n">
        <v>2024</v>
      </c>
      <c r="H34" s="2" t="n">
        <v>1.05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 t="s">
        <v>637</v>
      </c>
      <c r="T34" s="2" t="n">
        <v>57.2</v>
      </c>
      <c r="U34" s="2" t="n">
        <f aca="false">T34+(ROW()-2)*0.0000001</f>
        <v>57.2000032</v>
      </c>
    </row>
    <row r="35" customFormat="false" ht="15" hidden="false" customHeight="false" outlineLevel="0" collapsed="false">
      <c r="A35" s="2" t="s">
        <v>317</v>
      </c>
      <c r="B35" s="2" t="s">
        <v>51</v>
      </c>
      <c r="C35" s="2" t="s">
        <v>31</v>
      </c>
      <c r="D35" s="2" t="s">
        <v>318</v>
      </c>
      <c r="E35" s="2" t="n">
        <v>11.5556</v>
      </c>
      <c r="F35" s="2" t="n">
        <v>104.874</v>
      </c>
      <c r="G35" s="2" t="n">
        <v>2024</v>
      </c>
      <c r="H35" s="2" t="n">
        <v>0.81</v>
      </c>
      <c r="I35" s="2" t="n">
        <v>50.2</v>
      </c>
      <c r="J35" s="2" t="n">
        <v>14.5</v>
      </c>
      <c r="K35" s="2" t="n">
        <v>48.2</v>
      </c>
      <c r="L35" s="2" t="n">
        <v>48.5</v>
      </c>
      <c r="M35" s="2" t="n">
        <v>65.2</v>
      </c>
      <c r="N35" s="2"/>
      <c r="O35" s="2"/>
      <c r="P35" s="2"/>
      <c r="Q35" s="2" t="n">
        <v>160</v>
      </c>
      <c r="R35" s="2"/>
      <c r="S35" s="2" t="s">
        <v>636</v>
      </c>
      <c r="T35" s="2" t="n">
        <v>67.8</v>
      </c>
      <c r="U35" s="2" t="n">
        <f aca="false">T35+(ROW()-2)*0.0000001</f>
        <v>67.8000033</v>
      </c>
    </row>
    <row r="36" customFormat="false" ht="15" hidden="false" customHeight="false" outlineLevel="0" collapsed="false">
      <c r="A36" s="2" t="s">
        <v>139</v>
      </c>
      <c r="B36" s="2" t="s">
        <v>639</v>
      </c>
      <c r="C36" s="2" t="s">
        <v>31</v>
      </c>
      <c r="D36" s="2" t="s">
        <v>140</v>
      </c>
      <c r="E36" s="2" t="n">
        <v>3.8721</v>
      </c>
      <c r="F36" s="2" t="n">
        <v>11.5174</v>
      </c>
      <c r="G36" s="2" t="n">
        <v>2024</v>
      </c>
      <c r="H36" s="2" t="n">
        <v>4.53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 t="s">
        <v>637</v>
      </c>
      <c r="T36" s="2" t="n">
        <v>56.1</v>
      </c>
      <c r="U36" s="2" t="n">
        <f aca="false">T36+(ROW()-2)*0.0000001</f>
        <v>56.1000034</v>
      </c>
    </row>
    <row r="37" customFormat="false" ht="15" hidden="false" customHeight="false" outlineLevel="0" collapsed="false">
      <c r="A37" s="2" t="s">
        <v>123</v>
      </c>
      <c r="B37" s="2" t="s">
        <v>100</v>
      </c>
      <c r="C37" s="2" t="s">
        <v>22</v>
      </c>
      <c r="D37" s="2" t="s">
        <v>124</v>
      </c>
      <c r="E37" s="2" t="n">
        <v>45.4215</v>
      </c>
      <c r="F37" s="2" t="n">
        <v>-75.6919</v>
      </c>
      <c r="G37" s="2" t="n">
        <v>2024</v>
      </c>
      <c r="H37" s="2" t="n">
        <v>2.38</v>
      </c>
      <c r="I37" s="2" t="n">
        <v>65.4</v>
      </c>
      <c r="J37" s="2" t="n">
        <v>28.4</v>
      </c>
      <c r="K37" s="2" t="n">
        <v>61.5</v>
      </c>
      <c r="L37" s="2" t="n">
        <v>64.2</v>
      </c>
      <c r="M37" s="2" t="n">
        <v>92.1</v>
      </c>
      <c r="N37" s="2" t="n">
        <v>3.18</v>
      </c>
      <c r="O37" s="2"/>
      <c r="P37" s="2"/>
      <c r="Q37" s="2" t="n">
        <v>1200</v>
      </c>
      <c r="R37" s="2" t="n">
        <v>145</v>
      </c>
      <c r="S37" s="2" t="s">
        <v>636</v>
      </c>
      <c r="T37" s="2" t="n">
        <v>69.4</v>
      </c>
      <c r="U37" s="2" t="n">
        <f aca="false">T37+(ROW()-2)*0.0000001</f>
        <v>69.4000035</v>
      </c>
    </row>
    <row r="38" customFormat="false" ht="15" hidden="false" customHeight="false" outlineLevel="0" collapsed="false">
      <c r="A38" s="2" t="s">
        <v>163</v>
      </c>
      <c r="B38" s="2" t="s">
        <v>640</v>
      </c>
      <c r="C38" s="2" t="s">
        <v>22</v>
      </c>
      <c r="D38" s="2" t="s">
        <v>164</v>
      </c>
      <c r="E38" s="2" t="n">
        <v>19.3022</v>
      </c>
      <c r="F38" s="2" t="n">
        <v>-81.3857</v>
      </c>
      <c r="G38" s="2"/>
      <c r="H38" s="2"/>
      <c r="I38" s="2" t="n">
        <v>94.3</v>
      </c>
      <c r="J38" s="2" t="n">
        <v>60.2</v>
      </c>
      <c r="K38" s="2" t="n">
        <v>85.6</v>
      </c>
      <c r="L38" s="2" t="n">
        <v>92.1</v>
      </c>
      <c r="M38" s="2" t="n">
        <v>115.8</v>
      </c>
      <c r="N38" s="2" t="n">
        <v>6.36</v>
      </c>
      <c r="O38" s="2"/>
      <c r="P38" s="2"/>
      <c r="Q38" s="2" t="n">
        <v>2500</v>
      </c>
      <c r="R38" s="2"/>
      <c r="S38" s="2" t="s">
        <v>641</v>
      </c>
      <c r="T38" s="2" t="n">
        <v>60.5</v>
      </c>
      <c r="U38" s="2" t="n">
        <f aca="false">T38+(ROW()-2)*0.0000001</f>
        <v>60.5000036</v>
      </c>
    </row>
    <row r="39" customFormat="false" ht="15" hidden="false" customHeight="false" outlineLevel="0" collapsed="false">
      <c r="A39" s="2" t="s">
        <v>120</v>
      </c>
      <c r="B39" s="2" t="s">
        <v>639</v>
      </c>
      <c r="C39" s="2" t="s">
        <v>26</v>
      </c>
      <c r="D39" s="2" t="s">
        <v>121</v>
      </c>
      <c r="E39" s="2" t="n">
        <v>5.63056</v>
      </c>
      <c r="F39" s="2" t="n">
        <v>21.6407</v>
      </c>
      <c r="G39" s="2" t="n">
        <v>2024</v>
      </c>
      <c r="H39" s="2" t="n">
        <v>1.48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 t="s">
        <v>637</v>
      </c>
      <c r="T39" s="2" t="n">
        <v>57.1</v>
      </c>
      <c r="U39" s="2" t="n">
        <f aca="false">T39+(ROW()-2)*0.0000001</f>
        <v>57.1000037</v>
      </c>
    </row>
    <row r="40" customFormat="false" ht="15" hidden="false" customHeight="false" outlineLevel="0" collapsed="false">
      <c r="A40" s="2" t="s">
        <v>553</v>
      </c>
      <c r="B40" s="2" t="s">
        <v>639</v>
      </c>
      <c r="C40" s="2" t="s">
        <v>26</v>
      </c>
      <c r="D40" s="2" t="s">
        <v>554</v>
      </c>
      <c r="E40" s="2" t="n">
        <v>12.1048</v>
      </c>
      <c r="F40" s="2" t="n">
        <v>15.0445</v>
      </c>
      <c r="G40" s="2" t="n">
        <v>2024</v>
      </c>
      <c r="H40" s="2" t="n">
        <v>8.9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 t="s">
        <v>637</v>
      </c>
      <c r="T40" s="2" t="n">
        <v>54.8</v>
      </c>
      <c r="U40" s="2" t="n">
        <f aca="false">T40+(ROW()-2)*0.0000001</f>
        <v>54.8000038</v>
      </c>
    </row>
    <row r="41" customFormat="false" ht="15" hidden="false" customHeight="false" outlineLevel="0" collapsed="false">
      <c r="A41" s="2" t="s">
        <v>129</v>
      </c>
      <c r="B41" s="2" t="s">
        <v>35</v>
      </c>
      <c r="C41" s="2" t="s">
        <v>22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 t="s">
        <v>638</v>
      </c>
      <c r="T41" s="2" t="n">
        <v>54.5</v>
      </c>
      <c r="U41" s="2" t="n">
        <f aca="false">T41+(ROW()-2)*0.0000001</f>
        <v>54.5000039</v>
      </c>
    </row>
    <row r="42" customFormat="false" ht="15" hidden="false" customHeight="false" outlineLevel="0" collapsed="false">
      <c r="A42" s="2" t="s">
        <v>130</v>
      </c>
      <c r="B42" s="2" t="s">
        <v>640</v>
      </c>
      <c r="C42" s="2" t="s">
        <v>22</v>
      </c>
      <c r="D42" s="2" t="s">
        <v>131</v>
      </c>
      <c r="E42" s="2" t="n">
        <v>-33.475</v>
      </c>
      <c r="F42" s="2" t="n">
        <v>-70.6475</v>
      </c>
      <c r="G42" s="2" t="n">
        <v>2024</v>
      </c>
      <c r="H42" s="2" t="n">
        <v>4.3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 t="s">
        <v>637</v>
      </c>
      <c r="T42" s="2" t="n">
        <v>56.2</v>
      </c>
      <c r="U42" s="2" t="n">
        <f aca="false">T42+(ROW()-2)*0.0000001</f>
        <v>56.200004</v>
      </c>
    </row>
    <row r="43" customFormat="false" ht="15" hidden="false" customHeight="false" outlineLevel="0" collapsed="false">
      <c r="A43" s="2" t="s">
        <v>133</v>
      </c>
      <c r="B43" s="2" t="s">
        <v>51</v>
      </c>
      <c r="C43" s="2" t="s">
        <v>36</v>
      </c>
      <c r="D43" s="2" t="s">
        <v>134</v>
      </c>
      <c r="E43" s="2" t="n">
        <v>40.0495</v>
      </c>
      <c r="F43" s="2" t="n">
        <v>116.286</v>
      </c>
      <c r="G43" s="2" t="n">
        <v>2024</v>
      </c>
      <c r="H43" s="2" t="n">
        <v>0.22</v>
      </c>
      <c r="I43" s="2" t="n">
        <v>49.8</v>
      </c>
      <c r="J43" s="2" t="n">
        <v>14.8</v>
      </c>
      <c r="K43" s="2" t="n">
        <v>47.8</v>
      </c>
      <c r="L43" s="2" t="n">
        <v>48.5</v>
      </c>
      <c r="M43" s="2" t="n">
        <v>64.2</v>
      </c>
      <c r="N43" s="2" t="n">
        <v>1.65</v>
      </c>
      <c r="O43" s="2" t="n">
        <v>2.45</v>
      </c>
      <c r="P43" s="2" t="n">
        <v>42.8</v>
      </c>
      <c r="Q43" s="2" t="n">
        <v>540</v>
      </c>
      <c r="R43" s="2" t="n">
        <v>80</v>
      </c>
      <c r="S43" s="2" t="s">
        <v>636</v>
      </c>
      <c r="T43" s="2" t="n">
        <v>67.8</v>
      </c>
      <c r="U43" s="2" t="n">
        <f aca="false">T43+(ROW()-2)*0.0000001</f>
        <v>67.8000041</v>
      </c>
    </row>
    <row r="44" customFormat="false" ht="15" hidden="false" customHeight="false" outlineLevel="0" collapsed="false">
      <c r="A44" s="2" t="s">
        <v>147</v>
      </c>
      <c r="B44" s="2" t="s">
        <v>640</v>
      </c>
      <c r="C44" s="2" t="s">
        <v>36</v>
      </c>
      <c r="D44" s="2" t="s">
        <v>148</v>
      </c>
      <c r="E44" s="2" t="n">
        <v>4.60987</v>
      </c>
      <c r="F44" s="2" t="n">
        <v>-74.082</v>
      </c>
      <c r="G44" s="2" t="n">
        <v>2024</v>
      </c>
      <c r="H44" s="2" t="n">
        <v>6.61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 t="s">
        <v>637</v>
      </c>
      <c r="T44" s="2" t="n">
        <v>55.5</v>
      </c>
      <c r="U44" s="2" t="n">
        <f aca="false">T44+(ROW()-2)*0.0000001</f>
        <v>55.5000042</v>
      </c>
    </row>
    <row r="45" customFormat="false" ht="15" hidden="false" customHeight="false" outlineLevel="0" collapsed="false">
      <c r="A45" s="2" t="s">
        <v>150</v>
      </c>
      <c r="B45" s="2" t="s">
        <v>639</v>
      </c>
      <c r="C45" s="2" t="s">
        <v>31</v>
      </c>
      <c r="D45" s="2" t="s">
        <v>151</v>
      </c>
      <c r="E45" s="2" t="n">
        <v>-11.6986</v>
      </c>
      <c r="F45" s="2" t="n">
        <v>43.2418</v>
      </c>
      <c r="G45" s="2" t="n">
        <v>2024</v>
      </c>
      <c r="H45" s="2" t="n">
        <v>5.05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 t="s">
        <v>637</v>
      </c>
      <c r="T45" s="2" t="n">
        <v>56</v>
      </c>
      <c r="U45" s="2" t="n">
        <f aca="false">T45+(ROW()-2)*0.0000001</f>
        <v>56.0000043</v>
      </c>
    </row>
    <row r="46" customFormat="false" ht="15" hidden="false" customHeight="false" outlineLevel="0" collapsed="false">
      <c r="A46" s="2" t="s">
        <v>142</v>
      </c>
      <c r="B46" s="2" t="s">
        <v>639</v>
      </c>
      <c r="C46" s="2" t="s">
        <v>26</v>
      </c>
      <c r="D46" s="2" t="s">
        <v>143</v>
      </c>
      <c r="E46" s="2" t="n">
        <v>-4.325</v>
      </c>
      <c r="F46" s="2" t="n">
        <v>15.3222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 t="s">
        <v>638</v>
      </c>
      <c r="T46" s="2" t="n">
        <v>54.5</v>
      </c>
      <c r="U46" s="2" t="n">
        <f aca="false">T46+(ROW()-2)*0.0000001</f>
        <v>54.5000044</v>
      </c>
    </row>
    <row r="47" customFormat="false" ht="15" hidden="false" customHeight="false" outlineLevel="0" collapsed="false">
      <c r="A47" s="2" t="s">
        <v>144</v>
      </c>
      <c r="B47" s="2" t="s">
        <v>639</v>
      </c>
      <c r="C47" s="2" t="s">
        <v>31</v>
      </c>
      <c r="D47" s="2" t="s">
        <v>145</v>
      </c>
      <c r="E47" s="2" t="n">
        <v>-4.2767</v>
      </c>
      <c r="F47" s="2" t="n">
        <v>15.2662</v>
      </c>
      <c r="G47" s="2" t="n">
        <v>2024</v>
      </c>
      <c r="H47" s="2" t="n">
        <v>3.09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 t="s">
        <v>637</v>
      </c>
      <c r="T47" s="2" t="n">
        <v>56.6</v>
      </c>
      <c r="U47" s="2" t="n">
        <f aca="false">T47+(ROW()-2)*0.0000001</f>
        <v>56.6000045</v>
      </c>
    </row>
    <row r="48" customFormat="false" ht="15" hidden="false" customHeight="false" outlineLevel="0" collapsed="false">
      <c r="A48" s="2" t="s">
        <v>156</v>
      </c>
      <c r="B48" s="2" t="s">
        <v>640</v>
      </c>
      <c r="C48" s="2" t="s">
        <v>22</v>
      </c>
      <c r="D48" s="2" t="s">
        <v>157</v>
      </c>
      <c r="E48" s="2" t="n">
        <v>9.63701</v>
      </c>
      <c r="F48" s="2" t="n">
        <v>-84.0089</v>
      </c>
      <c r="G48" s="2" t="n">
        <v>2024</v>
      </c>
      <c r="H48" s="2" t="n">
        <v>-0.41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 t="s">
        <v>637</v>
      </c>
      <c r="T48" s="2" t="n">
        <v>57.6</v>
      </c>
      <c r="U48" s="2" t="n">
        <f aca="false">T48+(ROW()-2)*0.0000001</f>
        <v>57.6000046</v>
      </c>
    </row>
    <row r="49" customFormat="false" ht="15" hidden="false" customHeight="false" outlineLevel="0" collapsed="false">
      <c r="A49" s="2" t="s">
        <v>136</v>
      </c>
      <c r="B49" s="2" t="s">
        <v>639</v>
      </c>
      <c r="C49" s="2" t="s">
        <v>31</v>
      </c>
      <c r="D49" s="2" t="s">
        <v>137</v>
      </c>
      <c r="E49" s="2" t="n">
        <v>5.332</v>
      </c>
      <c r="F49" s="2" t="n">
        <v>-4.0305</v>
      </c>
      <c r="G49" s="2" t="n">
        <v>2024</v>
      </c>
      <c r="H49" s="2" t="n">
        <v>3.45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 t="s">
        <v>637</v>
      </c>
      <c r="T49" s="2" t="n">
        <v>56.5</v>
      </c>
      <c r="U49" s="2" t="n">
        <f aca="false">T49+(ROW()-2)*0.0000001</f>
        <v>56.5000047</v>
      </c>
    </row>
    <row r="50" customFormat="false" ht="15" hidden="false" customHeight="false" outlineLevel="0" collapsed="false">
      <c r="A50" s="2" t="s">
        <v>265</v>
      </c>
      <c r="B50" s="2" t="s">
        <v>35</v>
      </c>
      <c r="C50" s="2" t="s">
        <v>22</v>
      </c>
      <c r="D50" s="2" t="s">
        <v>266</v>
      </c>
      <c r="E50" s="2" t="n">
        <v>45.8069</v>
      </c>
      <c r="F50" s="2" t="n">
        <v>15.9614</v>
      </c>
      <c r="G50" s="2" t="n">
        <v>2024</v>
      </c>
      <c r="H50" s="2" t="n">
        <v>2.97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637</v>
      </c>
      <c r="T50" s="2" t="n">
        <v>56.6</v>
      </c>
      <c r="U50" s="2" t="n">
        <f aca="false">T50+(ROW()-2)*0.0000001</f>
        <v>56.6000048</v>
      </c>
    </row>
    <row r="51" customFormat="false" ht="15" hidden="false" customHeight="false" outlineLevel="0" collapsed="false">
      <c r="A51" s="2" t="s">
        <v>159</v>
      </c>
      <c r="B51" s="2" t="s">
        <v>640</v>
      </c>
      <c r="C51" s="2" t="s">
        <v>36</v>
      </c>
      <c r="D51" s="2" t="s">
        <v>160</v>
      </c>
      <c r="E51" s="2" t="n">
        <v>23.1333</v>
      </c>
      <c r="F51" s="2" t="n">
        <v>-82.3667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 t="s">
        <v>638</v>
      </c>
      <c r="T51" s="2" t="n">
        <v>54.5</v>
      </c>
      <c r="U51" s="2" t="n">
        <f aca="false">T51+(ROW()-2)*0.0000001</f>
        <v>54.5000049</v>
      </c>
    </row>
    <row r="52" customFormat="false" ht="15" hidden="false" customHeight="false" outlineLevel="0" collapsed="false">
      <c r="A52" s="2" t="s">
        <v>161</v>
      </c>
      <c r="B52" s="2" t="s">
        <v>640</v>
      </c>
      <c r="C52" s="2" t="s">
        <v>22</v>
      </c>
      <c r="D52" s="2" t="s">
        <v>162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 t="s">
        <v>638</v>
      </c>
      <c r="T52" s="2" t="n">
        <v>54.5</v>
      </c>
      <c r="U52" s="2" t="n">
        <f aca="false">T52+(ROW()-2)*0.0000001</f>
        <v>54.500005</v>
      </c>
    </row>
    <row r="53" customFormat="false" ht="15" hidden="false" customHeight="false" outlineLevel="0" collapsed="false">
      <c r="A53" s="2" t="s">
        <v>165</v>
      </c>
      <c r="B53" s="2" t="s">
        <v>35</v>
      </c>
      <c r="C53" s="2" t="s">
        <v>22</v>
      </c>
      <c r="D53" s="2" t="s">
        <v>166</v>
      </c>
      <c r="E53" s="2" t="n">
        <v>35.1676</v>
      </c>
      <c r="F53" s="2" t="n">
        <v>33.3736</v>
      </c>
      <c r="G53" s="2" t="n">
        <v>2024</v>
      </c>
      <c r="H53" s="2" t="n">
        <v>1.8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 t="s">
        <v>637</v>
      </c>
      <c r="T53" s="2" t="n">
        <v>57</v>
      </c>
      <c r="U53" s="2" t="n">
        <f aca="false">T53+(ROW()-2)*0.0000001</f>
        <v>57.0000051</v>
      </c>
    </row>
    <row r="54" customFormat="false" ht="15" hidden="false" customHeight="false" outlineLevel="0" collapsed="false">
      <c r="A54" s="2" t="s">
        <v>168</v>
      </c>
      <c r="B54" s="2" t="s">
        <v>35</v>
      </c>
      <c r="C54" s="2" t="s">
        <v>22</v>
      </c>
      <c r="D54" s="2" t="s">
        <v>169</v>
      </c>
      <c r="E54" s="2" t="n">
        <v>50.0878</v>
      </c>
      <c r="F54" s="2" t="n">
        <v>14.4205</v>
      </c>
      <c r="G54" s="2" t="n">
        <v>2024</v>
      </c>
      <c r="H54" s="2" t="n">
        <v>2.44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 t="s">
        <v>637</v>
      </c>
      <c r="T54" s="2" t="n">
        <v>56.8</v>
      </c>
      <c r="U54" s="2" t="n">
        <f aca="false">T54+(ROW()-2)*0.0000001</f>
        <v>56.8000052</v>
      </c>
    </row>
    <row r="55" customFormat="false" ht="15" hidden="false" customHeight="false" outlineLevel="0" collapsed="false">
      <c r="A55" s="2" t="s">
        <v>179</v>
      </c>
      <c r="B55" s="2" t="s">
        <v>35</v>
      </c>
      <c r="C55" s="2" t="s">
        <v>22</v>
      </c>
      <c r="D55" s="2" t="s">
        <v>180</v>
      </c>
      <c r="E55" s="2" t="n">
        <v>55.6763</v>
      </c>
      <c r="F55" s="2" t="n">
        <v>12.5681</v>
      </c>
      <c r="G55" s="2" t="n">
        <v>2024</v>
      </c>
      <c r="H55" s="2" t="n">
        <v>1.37</v>
      </c>
      <c r="I55" s="2" t="n">
        <v>72.1</v>
      </c>
      <c r="J55" s="2" t="n">
        <v>36.4</v>
      </c>
      <c r="K55" s="2" t="n">
        <v>67.2</v>
      </c>
      <c r="L55" s="2" t="n">
        <v>75.3</v>
      </c>
      <c r="M55" s="2" t="n">
        <v>102.8</v>
      </c>
      <c r="N55" s="2" t="n">
        <v>3.48</v>
      </c>
      <c r="O55" s="2" t="n">
        <v>5.42</v>
      </c>
      <c r="P55" s="2" t="n">
        <v>128.5</v>
      </c>
      <c r="Q55" s="2"/>
      <c r="R55" s="2"/>
      <c r="S55" s="2" t="s">
        <v>636</v>
      </c>
      <c r="T55" s="2" t="n">
        <v>69.9</v>
      </c>
      <c r="U55" s="2" t="n">
        <f aca="false">T55+(ROW()-2)*0.0000001</f>
        <v>69.9000053</v>
      </c>
    </row>
    <row r="56" customFormat="false" ht="15" hidden="false" customHeight="false" outlineLevel="0" collapsed="false">
      <c r="A56" s="2" t="s">
        <v>174</v>
      </c>
      <c r="B56" s="2" t="s">
        <v>25</v>
      </c>
      <c r="C56" s="2" t="s">
        <v>31</v>
      </c>
      <c r="D56" s="2" t="s">
        <v>174</v>
      </c>
      <c r="E56" s="2" t="n">
        <v>11.5806</v>
      </c>
      <c r="F56" s="2" t="n">
        <v>43.1425</v>
      </c>
      <c r="G56" s="2" t="n">
        <v>2024</v>
      </c>
      <c r="H56" s="2" t="n">
        <v>2.11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 t="s">
        <v>637</v>
      </c>
      <c r="T56" s="2" t="n">
        <v>56.9</v>
      </c>
      <c r="U56" s="2" t="n">
        <f aca="false">T56+(ROW()-2)*0.0000001</f>
        <v>56.9000054</v>
      </c>
    </row>
    <row r="57" customFormat="false" ht="15" hidden="false" customHeight="false" outlineLevel="0" collapsed="false">
      <c r="A57" s="2" t="s">
        <v>176</v>
      </c>
      <c r="B57" s="2" t="s">
        <v>640</v>
      </c>
      <c r="C57" s="2" t="s">
        <v>36</v>
      </c>
      <c r="D57" s="2" t="s">
        <v>177</v>
      </c>
      <c r="E57" s="2" t="n">
        <v>15.2976</v>
      </c>
      <c r="F57" s="2" t="n">
        <v>-61.39</v>
      </c>
      <c r="G57" s="2" t="n">
        <v>2024</v>
      </c>
      <c r="H57" s="2" t="n">
        <v>2.74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 t="s">
        <v>637</v>
      </c>
      <c r="T57" s="2" t="n">
        <v>56.7</v>
      </c>
      <c r="U57" s="2" t="n">
        <f aca="false">T57+(ROW()-2)*0.0000001</f>
        <v>56.7000055</v>
      </c>
    </row>
    <row r="58" customFormat="false" ht="15" hidden="false" customHeight="false" outlineLevel="0" collapsed="false">
      <c r="A58" s="2" t="s">
        <v>182</v>
      </c>
      <c r="B58" s="2" t="s">
        <v>640</v>
      </c>
      <c r="C58" s="2" t="s">
        <v>36</v>
      </c>
      <c r="D58" s="2" t="s">
        <v>183</v>
      </c>
      <c r="E58" s="2" t="n">
        <v>18.479</v>
      </c>
      <c r="F58" s="2" t="n">
        <v>-69.8908</v>
      </c>
      <c r="G58" s="2" t="n">
        <v>2024</v>
      </c>
      <c r="H58" s="2" t="n">
        <v>3.3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 t="s">
        <v>637</v>
      </c>
      <c r="T58" s="2" t="n">
        <v>56.5</v>
      </c>
      <c r="U58" s="2" t="n">
        <f aca="false">T58+(ROW()-2)*0.0000001</f>
        <v>56.5000056</v>
      </c>
    </row>
    <row r="59" customFormat="false" ht="15" hidden="false" customHeight="false" outlineLevel="0" collapsed="false">
      <c r="A59" s="2" t="s">
        <v>188</v>
      </c>
      <c r="B59" s="2" t="s">
        <v>640</v>
      </c>
      <c r="C59" s="2" t="s">
        <v>36</v>
      </c>
      <c r="D59" s="2" t="s">
        <v>189</v>
      </c>
      <c r="E59" s="2" t="n">
        <v>-0.229498</v>
      </c>
      <c r="F59" s="2" t="n">
        <v>-78.5243</v>
      </c>
      <c r="G59" s="2" t="n">
        <v>2024</v>
      </c>
      <c r="H59" s="2" t="n">
        <v>1.55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 t="s">
        <v>637</v>
      </c>
      <c r="T59" s="2" t="n">
        <v>57</v>
      </c>
      <c r="U59" s="2" t="n">
        <f aca="false">T59+(ROW()-2)*0.0000001</f>
        <v>57.0000057</v>
      </c>
    </row>
    <row r="60" customFormat="false" ht="15" hidden="false" customHeight="false" outlineLevel="0" collapsed="false">
      <c r="A60" s="2" t="s">
        <v>191</v>
      </c>
      <c r="B60" s="2" t="s">
        <v>25</v>
      </c>
      <c r="C60" s="2" t="s">
        <v>31</v>
      </c>
      <c r="D60" s="2" t="s">
        <v>192</v>
      </c>
      <c r="E60" s="2" t="n">
        <v>30.0982</v>
      </c>
      <c r="F60" s="2" t="n">
        <v>31.2461</v>
      </c>
      <c r="G60" s="2" t="n">
        <v>2024</v>
      </c>
      <c r="H60" s="2" t="n">
        <v>28.27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 t="s">
        <v>637</v>
      </c>
      <c r="T60" s="2" t="n">
        <v>49</v>
      </c>
      <c r="U60" s="2" t="n">
        <f aca="false">T60+(ROW()-2)*0.0000001</f>
        <v>49.0000058</v>
      </c>
    </row>
    <row r="61" customFormat="false" ht="15" hidden="false" customHeight="false" outlineLevel="0" collapsed="false">
      <c r="A61" s="2" t="s">
        <v>514</v>
      </c>
      <c r="B61" s="2" t="s">
        <v>640</v>
      </c>
      <c r="C61" s="2" t="s">
        <v>36</v>
      </c>
      <c r="D61" s="2" t="s">
        <v>515</v>
      </c>
      <c r="E61" s="2" t="n">
        <v>13.7034</v>
      </c>
      <c r="F61" s="2" t="n">
        <v>-89.2073</v>
      </c>
      <c r="G61" s="2" t="n">
        <v>2024</v>
      </c>
      <c r="H61" s="2" t="n">
        <v>0.85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 t="s">
        <v>637</v>
      </c>
      <c r="T61" s="2" t="n">
        <v>57.2</v>
      </c>
      <c r="U61" s="2" t="n">
        <f aca="false">T61+(ROW()-2)*0.0000001</f>
        <v>57.2000059</v>
      </c>
    </row>
    <row r="62" customFormat="false" ht="15" hidden="false" customHeight="false" outlineLevel="0" collapsed="false">
      <c r="A62" s="2" t="s">
        <v>241</v>
      </c>
      <c r="B62" s="2" t="s">
        <v>639</v>
      </c>
      <c r="C62" s="2" t="s">
        <v>36</v>
      </c>
      <c r="D62" s="2" t="s">
        <v>242</v>
      </c>
      <c r="E62" s="2" t="n">
        <v>3.7523</v>
      </c>
      <c r="F62" s="2" t="n">
        <v>8.7741</v>
      </c>
      <c r="G62" s="2" t="n">
        <v>2024</v>
      </c>
      <c r="H62" s="2" t="n">
        <v>2.92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 t="s">
        <v>637</v>
      </c>
      <c r="T62" s="2" t="n">
        <v>56.6</v>
      </c>
      <c r="U62" s="2" t="n">
        <f aca="false">T62+(ROW()-2)*0.0000001</f>
        <v>56.600006</v>
      </c>
    </row>
    <row r="63" customFormat="false" ht="15" hidden="false" customHeight="false" outlineLevel="0" collapsed="false">
      <c r="A63" s="2" t="s">
        <v>194</v>
      </c>
      <c r="B63" s="2" t="s">
        <v>639</v>
      </c>
      <c r="C63" s="2" t="s">
        <v>26</v>
      </c>
      <c r="D63" s="2" t="s">
        <v>195</v>
      </c>
      <c r="E63" s="2" t="n">
        <v>15.3315</v>
      </c>
      <c r="F63" s="2" t="n">
        <v>38.9183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 t="s">
        <v>638</v>
      </c>
      <c r="T63" s="2" t="n">
        <v>54.5</v>
      </c>
      <c r="U63" s="2" t="n">
        <f aca="false">T63+(ROW()-2)*0.0000001</f>
        <v>54.5000061</v>
      </c>
    </row>
    <row r="64" customFormat="false" ht="15" hidden="false" customHeight="false" outlineLevel="0" collapsed="false">
      <c r="A64" s="2" t="s">
        <v>199</v>
      </c>
      <c r="B64" s="2" t="s">
        <v>35</v>
      </c>
      <c r="C64" s="2" t="s">
        <v>22</v>
      </c>
      <c r="D64" s="2" t="s">
        <v>200</v>
      </c>
      <c r="E64" s="2" t="n">
        <v>59.4392</v>
      </c>
      <c r="F64" s="2" t="n">
        <v>24.7586</v>
      </c>
      <c r="G64" s="2" t="n">
        <v>2024</v>
      </c>
      <c r="H64" s="2" t="n">
        <v>3.52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 t="s">
        <v>637</v>
      </c>
      <c r="T64" s="2" t="n">
        <v>56.4</v>
      </c>
      <c r="U64" s="2" t="n">
        <f aca="false">T64+(ROW()-2)*0.0000001</f>
        <v>56.4000062</v>
      </c>
    </row>
    <row r="65" customFormat="false" ht="15" hidden="false" customHeight="false" outlineLevel="0" collapsed="false">
      <c r="A65" s="2" t="s">
        <v>542</v>
      </c>
      <c r="B65" s="2" t="s">
        <v>639</v>
      </c>
      <c r="C65" s="2" t="s">
        <v>31</v>
      </c>
      <c r="D65" s="2" t="s">
        <v>543</v>
      </c>
      <c r="E65" s="2" t="n">
        <v>-26.5225</v>
      </c>
      <c r="F65" s="2" t="n">
        <v>31.4659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 t="s">
        <v>638</v>
      </c>
      <c r="T65" s="2" t="n">
        <v>54.5</v>
      </c>
      <c r="U65" s="2" t="n">
        <f aca="false">T65+(ROW()-2)*0.0000001</f>
        <v>54.5000063</v>
      </c>
    </row>
    <row r="66" customFormat="false" ht="15" hidden="false" customHeight="false" outlineLevel="0" collapsed="false">
      <c r="A66" s="2" t="s">
        <v>202</v>
      </c>
      <c r="B66" s="2" t="s">
        <v>639</v>
      </c>
      <c r="C66" s="2" t="s">
        <v>26</v>
      </c>
      <c r="D66" s="2" t="s">
        <v>203</v>
      </c>
      <c r="E66" s="2" t="n">
        <v>9.02274</v>
      </c>
      <c r="F66" s="2" t="n">
        <v>38.7468</v>
      </c>
      <c r="G66" s="2" t="n">
        <v>2024</v>
      </c>
      <c r="H66" s="2" t="n">
        <v>21.04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 t="s">
        <v>637</v>
      </c>
      <c r="T66" s="2" t="n">
        <v>51.2</v>
      </c>
      <c r="U66" s="2" t="n">
        <f aca="false">T66+(ROW()-2)*0.0000001</f>
        <v>51.2000064</v>
      </c>
    </row>
    <row r="67" customFormat="false" ht="15" hidden="false" customHeight="false" outlineLevel="0" collapsed="false">
      <c r="A67" s="2" t="s">
        <v>214</v>
      </c>
      <c r="B67" s="2" t="s">
        <v>35</v>
      </c>
      <c r="C67" s="2" t="s">
        <v>22</v>
      </c>
      <c r="D67" s="2" t="s">
        <v>215</v>
      </c>
      <c r="E67" s="2" t="n">
        <v>61.8926</v>
      </c>
      <c r="F67" s="2" t="n">
        <v>-6.91181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 t="s">
        <v>638</v>
      </c>
      <c r="T67" s="2" t="n">
        <v>54.5</v>
      </c>
      <c r="U67" s="2" t="n">
        <f aca="false">T67+(ROW()-2)*0.0000001</f>
        <v>54.5000065</v>
      </c>
    </row>
    <row r="68" customFormat="false" ht="15" hidden="false" customHeight="false" outlineLevel="0" collapsed="false">
      <c r="A68" s="2" t="s">
        <v>208</v>
      </c>
      <c r="B68" s="2" t="s">
        <v>51</v>
      </c>
      <c r="C68" s="2" t="s">
        <v>36</v>
      </c>
      <c r="D68" s="2" t="s">
        <v>209</v>
      </c>
      <c r="E68" s="2" t="n">
        <v>-18.1149</v>
      </c>
      <c r="F68" s="2" t="n">
        <v>178.399</v>
      </c>
      <c r="G68" s="2" t="n">
        <v>2024</v>
      </c>
      <c r="H68" s="2" t="n">
        <v>3.89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 t="s">
        <v>637</v>
      </c>
      <c r="T68" s="2" t="n">
        <v>56.3</v>
      </c>
      <c r="U68" s="2" t="n">
        <f aca="false">T68+(ROW()-2)*0.0000001</f>
        <v>56.3000066</v>
      </c>
    </row>
    <row r="69" customFormat="false" ht="15" hidden="false" customHeight="false" outlineLevel="0" collapsed="false">
      <c r="A69" s="2" t="s">
        <v>205</v>
      </c>
      <c r="B69" s="2" t="s">
        <v>35</v>
      </c>
      <c r="C69" s="2" t="s">
        <v>22</v>
      </c>
      <c r="D69" s="2" t="s">
        <v>206</v>
      </c>
      <c r="E69" s="2" t="n">
        <v>60.1608</v>
      </c>
      <c r="F69" s="2" t="n">
        <v>24.9525</v>
      </c>
      <c r="G69" s="2" t="n">
        <v>2024</v>
      </c>
      <c r="H69" s="2" t="n">
        <v>1.57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 t="s">
        <v>637</v>
      </c>
      <c r="T69" s="2" t="n">
        <v>57</v>
      </c>
      <c r="U69" s="2" t="n">
        <f aca="false">T69+(ROW()-2)*0.0000001</f>
        <v>57.0000067</v>
      </c>
    </row>
    <row r="70" customFormat="false" ht="15" hidden="false" customHeight="false" outlineLevel="0" collapsed="false">
      <c r="A70" s="2" t="s">
        <v>211</v>
      </c>
      <c r="B70" s="2" t="s">
        <v>35</v>
      </c>
      <c r="C70" s="2" t="s">
        <v>22</v>
      </c>
      <c r="D70" s="2" t="s">
        <v>212</v>
      </c>
      <c r="E70" s="2" t="n">
        <v>48.8566</v>
      </c>
      <c r="F70" s="2" t="n">
        <v>2.35097</v>
      </c>
      <c r="G70" s="2" t="n">
        <v>2024</v>
      </c>
      <c r="H70" s="2" t="n">
        <v>2</v>
      </c>
      <c r="I70" s="2" t="n">
        <v>64.8</v>
      </c>
      <c r="J70" s="2" t="n">
        <v>27.9</v>
      </c>
      <c r="K70" s="2" t="n">
        <v>60.8</v>
      </c>
      <c r="L70" s="2" t="n">
        <v>63.5</v>
      </c>
      <c r="M70" s="2" t="n">
        <v>89.7</v>
      </c>
      <c r="N70" s="2" t="n">
        <v>2.78</v>
      </c>
      <c r="O70" s="2" t="n">
        <v>4.62</v>
      </c>
      <c r="P70" s="2" t="n">
        <v>108.4</v>
      </c>
      <c r="Q70" s="2" t="n">
        <v>738</v>
      </c>
      <c r="R70" s="2" t="n">
        <v>155</v>
      </c>
      <c r="S70" s="2" t="s">
        <v>636</v>
      </c>
      <c r="T70" s="2" t="n">
        <v>68.9</v>
      </c>
      <c r="U70" s="2" t="n">
        <f aca="false">T70+(ROW()-2)*0.0000001</f>
        <v>68.9000068</v>
      </c>
    </row>
    <row r="71" customFormat="false" ht="15" hidden="false" customHeight="false" outlineLevel="0" collapsed="false">
      <c r="A71" s="2" t="s">
        <v>483</v>
      </c>
      <c r="B71" s="2" t="s">
        <v>51</v>
      </c>
      <c r="C71" s="2" t="s">
        <v>22</v>
      </c>
      <c r="D71" s="2" t="s">
        <v>484</v>
      </c>
      <c r="E71" s="2" t="n">
        <v>-17.535</v>
      </c>
      <c r="F71" s="2" t="n">
        <v>-149.57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 t="s">
        <v>638</v>
      </c>
      <c r="T71" s="2" t="n">
        <v>54.5</v>
      </c>
      <c r="U71" s="2" t="n">
        <f aca="false">T71+(ROW()-2)*0.0000001</f>
        <v>54.5000069</v>
      </c>
    </row>
    <row r="72" customFormat="false" ht="15" hidden="false" customHeight="false" outlineLevel="0" collapsed="false">
      <c r="A72" s="2" t="s">
        <v>219</v>
      </c>
      <c r="B72" s="2" t="s">
        <v>639</v>
      </c>
      <c r="C72" s="2" t="s">
        <v>36</v>
      </c>
      <c r="D72" s="2" t="s">
        <v>220</v>
      </c>
      <c r="E72" s="2" t="n">
        <v>0.38832</v>
      </c>
      <c r="F72" s="2" t="n">
        <v>9.45162</v>
      </c>
      <c r="G72" s="2" t="n">
        <v>2024</v>
      </c>
      <c r="H72" s="2" t="n">
        <v>1.17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 t="s">
        <v>637</v>
      </c>
      <c r="T72" s="2" t="n">
        <v>57.1</v>
      </c>
      <c r="U72" s="2" t="n">
        <f aca="false">T72+(ROW()-2)*0.0000001</f>
        <v>57.100007</v>
      </c>
    </row>
    <row r="73" customFormat="false" ht="15" hidden="false" customHeight="false" outlineLevel="0" collapsed="false">
      <c r="A73" s="2" t="s">
        <v>235</v>
      </c>
      <c r="B73" s="2" t="s">
        <v>639</v>
      </c>
      <c r="C73" s="2" t="s">
        <v>26</v>
      </c>
      <c r="D73" s="2" t="s">
        <v>236</v>
      </c>
      <c r="E73" s="2" t="n">
        <v>13.4495</v>
      </c>
      <c r="F73" s="2" t="n">
        <v>-16.5885</v>
      </c>
      <c r="G73" s="2" t="n">
        <v>2024</v>
      </c>
      <c r="H73" s="2" t="n">
        <v>11.56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 t="s">
        <v>637</v>
      </c>
      <c r="T73" s="2" t="n">
        <v>54</v>
      </c>
      <c r="U73" s="2" t="n">
        <f aca="false">T73+(ROW()-2)*0.0000001</f>
        <v>54.0000071</v>
      </c>
    </row>
    <row r="74" customFormat="false" ht="15" hidden="false" customHeight="false" outlineLevel="0" collapsed="false">
      <c r="A74" s="2" t="s">
        <v>225</v>
      </c>
      <c r="B74" s="2" t="s">
        <v>35</v>
      </c>
      <c r="C74" s="2" t="s">
        <v>36</v>
      </c>
      <c r="D74" s="2" t="s">
        <v>226</v>
      </c>
      <c r="E74" s="2" t="n">
        <v>41.71</v>
      </c>
      <c r="F74" s="2" t="n">
        <v>44.793</v>
      </c>
      <c r="G74" s="2" t="n">
        <v>2024</v>
      </c>
      <c r="H74" s="2" t="n">
        <v>1.11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 t="s">
        <v>637</v>
      </c>
      <c r="T74" s="2" t="n">
        <v>57.2</v>
      </c>
      <c r="U74" s="2" t="n">
        <f aca="false">T74+(ROW()-2)*0.0000001</f>
        <v>57.2000072</v>
      </c>
    </row>
    <row r="75" customFormat="false" ht="15" hidden="false" customHeight="false" outlineLevel="0" collapsed="false">
      <c r="A75" s="2" t="s">
        <v>171</v>
      </c>
      <c r="B75" s="2" t="s">
        <v>35</v>
      </c>
      <c r="C75" s="2" t="s">
        <v>22</v>
      </c>
      <c r="D75" s="2" t="s">
        <v>172</v>
      </c>
      <c r="E75" s="2" t="n">
        <v>52.5235</v>
      </c>
      <c r="F75" s="2" t="n">
        <v>13.4115</v>
      </c>
      <c r="G75" s="2" t="n">
        <v>2024</v>
      </c>
      <c r="H75" s="2" t="n">
        <v>2.26</v>
      </c>
      <c r="I75" s="2" t="n">
        <v>64.1</v>
      </c>
      <c r="J75" s="2" t="n">
        <v>26.5</v>
      </c>
      <c r="K75" s="2" t="n">
        <v>59.7</v>
      </c>
      <c r="L75" s="2" t="n">
        <v>62.8</v>
      </c>
      <c r="M75" s="2" t="n">
        <v>91.3</v>
      </c>
      <c r="N75" s="2" t="n">
        <v>2.72</v>
      </c>
      <c r="O75" s="2" t="n">
        <v>4.85</v>
      </c>
      <c r="P75" s="2" t="n">
        <v>112.3</v>
      </c>
      <c r="Q75" s="2" t="n">
        <v>850</v>
      </c>
      <c r="R75" s="2" t="n">
        <v>170</v>
      </c>
      <c r="S75" s="2" t="s">
        <v>636</v>
      </c>
      <c r="T75" s="2" t="n">
        <v>69.9</v>
      </c>
      <c r="U75" s="2" t="n">
        <f aca="false">T75+(ROW()-2)*0.0000001</f>
        <v>69.9000073</v>
      </c>
    </row>
    <row r="76" customFormat="false" ht="15" hidden="false" customHeight="false" outlineLevel="0" collapsed="false">
      <c r="A76" s="2" t="s">
        <v>228</v>
      </c>
      <c r="B76" s="2" t="s">
        <v>639</v>
      </c>
      <c r="C76" s="2" t="s">
        <v>31</v>
      </c>
      <c r="D76" s="2" t="s">
        <v>229</v>
      </c>
      <c r="E76" s="2" t="n">
        <v>5.57045</v>
      </c>
      <c r="F76" s="2" t="n">
        <v>-0.20795</v>
      </c>
      <c r="G76" s="2" t="n">
        <v>2024</v>
      </c>
      <c r="H76" s="2" t="n">
        <v>22.85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 t="s">
        <v>637</v>
      </c>
      <c r="T76" s="2" t="n">
        <v>50.6</v>
      </c>
      <c r="U76" s="2" t="n">
        <f aca="false">T76+(ROW()-2)*0.0000001</f>
        <v>50.6000074</v>
      </c>
    </row>
    <row r="77" customFormat="false" ht="15" hidden="false" customHeight="false" outlineLevel="0" collapsed="false">
      <c r="A77" s="2" t="s">
        <v>231</v>
      </c>
      <c r="B77" s="2" t="s">
        <v>35</v>
      </c>
      <c r="C77" s="2" t="s">
        <v>22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 t="s">
        <v>638</v>
      </c>
      <c r="T77" s="2" t="n">
        <v>54.5</v>
      </c>
      <c r="U77" s="2" t="n">
        <f aca="false">T77+(ROW()-2)*0.0000001</f>
        <v>54.5000075</v>
      </c>
    </row>
    <row r="78" customFormat="false" ht="15" hidden="false" customHeight="false" outlineLevel="0" collapsed="false">
      <c r="A78" s="2" t="s">
        <v>244</v>
      </c>
      <c r="B78" s="2" t="s">
        <v>35</v>
      </c>
      <c r="C78" s="2" t="s">
        <v>22</v>
      </c>
      <c r="D78" s="2" t="s">
        <v>245</v>
      </c>
      <c r="E78" s="2" t="n">
        <v>37.9792</v>
      </c>
      <c r="F78" s="2" t="n">
        <v>23.7166</v>
      </c>
      <c r="G78" s="2" t="n">
        <v>2024</v>
      </c>
      <c r="H78" s="2" t="n">
        <v>2.74</v>
      </c>
      <c r="I78" s="2" t="n">
        <v>57.1</v>
      </c>
      <c r="J78" s="2" t="n">
        <v>19.2</v>
      </c>
      <c r="K78" s="2" t="n">
        <v>53.8</v>
      </c>
      <c r="L78" s="2" t="n">
        <v>55.1</v>
      </c>
      <c r="M78" s="2" t="n">
        <v>76.4</v>
      </c>
      <c r="N78" s="2" t="n">
        <v>2.38</v>
      </c>
      <c r="O78" s="2" t="n">
        <v>3.62</v>
      </c>
      <c r="P78" s="2" t="n">
        <v>78.2</v>
      </c>
      <c r="Q78" s="2" t="n">
        <v>380</v>
      </c>
      <c r="R78" s="2" t="n">
        <v>75</v>
      </c>
      <c r="S78" s="2" t="s">
        <v>636</v>
      </c>
      <c r="T78" s="2" t="n">
        <v>68.1</v>
      </c>
      <c r="U78" s="2" t="n">
        <f aca="false">T78+(ROW()-2)*0.0000001</f>
        <v>68.1000076</v>
      </c>
    </row>
    <row r="79" customFormat="false" ht="15" hidden="false" customHeight="false" outlineLevel="0" collapsed="false">
      <c r="A79" s="2" t="s">
        <v>250</v>
      </c>
      <c r="B79" s="2" t="s">
        <v>35</v>
      </c>
      <c r="C79" s="2" t="s">
        <v>22</v>
      </c>
      <c r="D79" s="2" t="s">
        <v>251</v>
      </c>
      <c r="E79" s="2" t="n">
        <v>64.1836</v>
      </c>
      <c r="F79" s="2" t="n">
        <v>-51.7214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 t="s">
        <v>638</v>
      </c>
      <c r="T79" s="2" t="n">
        <v>54.5</v>
      </c>
      <c r="U79" s="2" t="n">
        <f aca="false">T79+(ROW()-2)*0.0000001</f>
        <v>54.5000077</v>
      </c>
    </row>
    <row r="80" customFormat="false" ht="15" hidden="false" customHeight="false" outlineLevel="0" collapsed="false">
      <c r="A80" s="2" t="s">
        <v>247</v>
      </c>
      <c r="B80" s="2" t="s">
        <v>640</v>
      </c>
      <c r="C80" s="2" t="s">
        <v>36</v>
      </c>
      <c r="D80" s="2" t="s">
        <v>248</v>
      </c>
      <c r="E80" s="2" t="n">
        <v>12.0653</v>
      </c>
      <c r="F80" s="2" t="n">
        <v>-61.7449</v>
      </c>
      <c r="G80" s="2" t="n">
        <v>2024</v>
      </c>
      <c r="H80" s="2" t="n">
        <v>1.09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 t="s">
        <v>637</v>
      </c>
      <c r="T80" s="2" t="n">
        <v>57.2</v>
      </c>
      <c r="U80" s="2" t="n">
        <f aca="false">T80+(ROW()-2)*0.0000001</f>
        <v>57.2000078</v>
      </c>
    </row>
    <row r="81" customFormat="false" ht="15" hidden="false" customHeight="false" outlineLevel="0" collapsed="false">
      <c r="A81" s="2" t="s">
        <v>255</v>
      </c>
      <c r="B81" s="2" t="s">
        <v>51</v>
      </c>
      <c r="C81" s="2" t="s">
        <v>22</v>
      </c>
      <c r="D81" s="2" t="s">
        <v>256</v>
      </c>
      <c r="E81" s="2" t="n">
        <v>13.4443</v>
      </c>
      <c r="F81" s="2" t="n">
        <v>144.794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 t="s">
        <v>638</v>
      </c>
      <c r="T81" s="2" t="n">
        <v>54.5</v>
      </c>
      <c r="U81" s="2" t="n">
        <f aca="false">T81+(ROW()-2)*0.0000001</f>
        <v>54.5000079</v>
      </c>
    </row>
    <row r="82" customFormat="false" ht="15" hidden="false" customHeight="false" outlineLevel="0" collapsed="false">
      <c r="A82" s="2" t="s">
        <v>252</v>
      </c>
      <c r="B82" s="2" t="s">
        <v>640</v>
      </c>
      <c r="C82" s="2" t="s">
        <v>36</v>
      </c>
      <c r="D82" s="2" t="s">
        <v>253</v>
      </c>
      <c r="E82" s="2" t="n">
        <v>14.6248</v>
      </c>
      <c r="F82" s="2" t="n">
        <v>-90.5328</v>
      </c>
      <c r="G82" s="2" t="n">
        <v>2024</v>
      </c>
      <c r="H82" s="2" t="n">
        <v>2.87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 t="s">
        <v>637</v>
      </c>
      <c r="T82" s="2" t="n">
        <v>56.6</v>
      </c>
      <c r="U82" s="2" t="n">
        <f aca="false">T82+(ROW()-2)*0.0000001</f>
        <v>56.600008</v>
      </c>
    </row>
    <row r="83" customFormat="false" ht="15" hidden="false" customHeight="false" outlineLevel="0" collapsed="false">
      <c r="A83" s="2" t="s">
        <v>232</v>
      </c>
      <c r="B83" s="2" t="s">
        <v>639</v>
      </c>
      <c r="C83" s="2" t="s">
        <v>31</v>
      </c>
      <c r="D83" s="2" t="s">
        <v>233</v>
      </c>
      <c r="E83" s="2" t="n">
        <v>9.51667</v>
      </c>
      <c r="F83" s="2" t="n">
        <v>-13.7</v>
      </c>
      <c r="G83" s="2" t="n">
        <v>2024</v>
      </c>
      <c r="H83" s="2" t="n">
        <v>8.12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 t="s">
        <v>637</v>
      </c>
      <c r="T83" s="2" t="n">
        <v>55.1</v>
      </c>
      <c r="U83" s="2" t="n">
        <f aca="false">T83+(ROW()-2)*0.0000001</f>
        <v>55.1000081</v>
      </c>
    </row>
    <row r="84" customFormat="false" ht="15" hidden="false" customHeight="false" outlineLevel="0" collapsed="false">
      <c r="A84" s="2" t="s">
        <v>238</v>
      </c>
      <c r="B84" s="2" t="s">
        <v>639</v>
      </c>
      <c r="C84" s="2" t="s">
        <v>26</v>
      </c>
      <c r="D84" s="2" t="s">
        <v>239</v>
      </c>
      <c r="E84" s="2" t="n">
        <v>11.8037</v>
      </c>
      <c r="F84" s="2" t="n">
        <v>-15.1804</v>
      </c>
      <c r="G84" s="2" t="n">
        <v>2024</v>
      </c>
      <c r="H84" s="2" t="n">
        <v>3.77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 t="s">
        <v>637</v>
      </c>
      <c r="T84" s="2" t="n">
        <v>56.4</v>
      </c>
      <c r="U84" s="2" t="n">
        <f aca="false">T84+(ROW()-2)*0.0000001</f>
        <v>56.4000082</v>
      </c>
    </row>
    <row r="85" customFormat="false" ht="15" hidden="false" customHeight="false" outlineLevel="0" collapsed="false">
      <c r="A85" s="2" t="s">
        <v>257</v>
      </c>
      <c r="B85" s="2" t="s">
        <v>640</v>
      </c>
      <c r="C85" s="2" t="s">
        <v>22</v>
      </c>
      <c r="D85" s="2" t="s">
        <v>258</v>
      </c>
      <c r="E85" s="2" t="n">
        <v>6.80461</v>
      </c>
      <c r="F85" s="2" t="n">
        <v>-58.1548</v>
      </c>
      <c r="G85" s="2" t="n">
        <v>2024</v>
      </c>
      <c r="H85" s="2" t="n">
        <v>2.9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 t="s">
        <v>637</v>
      </c>
      <c r="T85" s="2" t="n">
        <v>56.6</v>
      </c>
      <c r="U85" s="2" t="n">
        <f aca="false">T85+(ROW()-2)*0.0000001</f>
        <v>56.6000083</v>
      </c>
    </row>
    <row r="86" customFormat="false" ht="15" hidden="false" customHeight="false" outlineLevel="0" collapsed="false">
      <c r="A86" s="2" t="s">
        <v>268</v>
      </c>
      <c r="B86" s="2" t="s">
        <v>640</v>
      </c>
      <c r="C86" s="2" t="s">
        <v>31</v>
      </c>
      <c r="D86" s="2" t="s">
        <v>269</v>
      </c>
      <c r="E86" s="2" t="n">
        <v>18.5392</v>
      </c>
      <c r="F86" s="2" t="n">
        <v>-72.3288</v>
      </c>
      <c r="G86" s="2" t="n">
        <v>2024</v>
      </c>
      <c r="H86" s="2" t="n">
        <v>26.95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 t="s">
        <v>637</v>
      </c>
      <c r="T86" s="2" t="n">
        <v>49.4</v>
      </c>
      <c r="U86" s="2" t="n">
        <f aca="false">T86+(ROW()-2)*0.0000001</f>
        <v>49.4000084</v>
      </c>
    </row>
    <row r="87" customFormat="false" ht="15" hidden="false" customHeight="false" outlineLevel="0" collapsed="false">
      <c r="A87" s="2" t="s">
        <v>262</v>
      </c>
      <c r="B87" s="2" t="s">
        <v>640</v>
      </c>
      <c r="C87" s="2" t="s">
        <v>31</v>
      </c>
      <c r="D87" s="2" t="s">
        <v>263</v>
      </c>
      <c r="E87" s="2" t="n">
        <v>15.1333</v>
      </c>
      <c r="F87" s="2" t="n">
        <v>-87.4667</v>
      </c>
      <c r="G87" s="2" t="n">
        <v>2024</v>
      </c>
      <c r="H87" s="2" t="n">
        <v>4.61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 t="s">
        <v>637</v>
      </c>
      <c r="T87" s="2" t="n">
        <v>56.1</v>
      </c>
      <c r="U87" s="2" t="n">
        <f aca="false">T87+(ROW()-2)*0.0000001</f>
        <v>56.1000085</v>
      </c>
    </row>
    <row r="88" customFormat="false" ht="15" hidden="false" customHeight="false" outlineLevel="0" collapsed="false">
      <c r="A88" s="2" t="s">
        <v>260</v>
      </c>
      <c r="B88" s="2" t="s">
        <v>51</v>
      </c>
      <c r="C88" s="2" t="s">
        <v>22</v>
      </c>
      <c r="D88" s="2"/>
      <c r="E88" s="2" t="n">
        <v>22.3964</v>
      </c>
      <c r="F88" s="2" t="n">
        <v>114.109</v>
      </c>
      <c r="G88" s="2" t="n">
        <v>2024</v>
      </c>
      <c r="H88" s="2" t="n">
        <v>1.73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 t="s">
        <v>637</v>
      </c>
      <c r="T88" s="2" t="n">
        <v>57</v>
      </c>
      <c r="U88" s="2" t="n">
        <f aca="false">T88+(ROW()-2)*0.0000001</f>
        <v>57.0000086</v>
      </c>
    </row>
    <row r="89" customFormat="false" ht="15" hidden="false" customHeight="false" outlineLevel="0" collapsed="false">
      <c r="A89" s="2" t="s">
        <v>271</v>
      </c>
      <c r="B89" s="2" t="s">
        <v>35</v>
      </c>
      <c r="C89" s="2" t="s">
        <v>22</v>
      </c>
      <c r="D89" s="2" t="s">
        <v>272</v>
      </c>
      <c r="E89" s="2" t="n">
        <v>47.4984</v>
      </c>
      <c r="F89" s="2" t="n">
        <v>19.0408</v>
      </c>
      <c r="G89" s="2" t="n">
        <v>2024</v>
      </c>
      <c r="H89" s="2" t="n">
        <v>3.7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 t="s">
        <v>637</v>
      </c>
      <c r="T89" s="2" t="n">
        <v>56.4</v>
      </c>
      <c r="U89" s="2" t="n">
        <f aca="false">T89+(ROW()-2)*0.0000001</f>
        <v>56.4000087</v>
      </c>
    </row>
    <row r="90" customFormat="false" ht="15" hidden="false" customHeight="false" outlineLevel="0" collapsed="false">
      <c r="A90" s="2" t="s">
        <v>291</v>
      </c>
      <c r="B90" s="2" t="s">
        <v>35</v>
      </c>
      <c r="C90" s="2" t="s">
        <v>22</v>
      </c>
      <c r="D90" s="2" t="s">
        <v>292</v>
      </c>
      <c r="E90" s="2" t="n">
        <v>64.1353</v>
      </c>
      <c r="F90" s="2" t="n">
        <v>-21.8952</v>
      </c>
      <c r="G90" s="2" t="n">
        <v>2024</v>
      </c>
      <c r="H90" s="2" t="n">
        <v>5.86</v>
      </c>
      <c r="I90" s="2" t="n">
        <v>78.2</v>
      </c>
      <c r="J90" s="2" t="n">
        <v>45.6</v>
      </c>
      <c r="K90" s="2" t="n">
        <v>72.3</v>
      </c>
      <c r="L90" s="2" t="n">
        <v>82.1</v>
      </c>
      <c r="M90" s="2" t="n">
        <v>98.7</v>
      </c>
      <c r="N90" s="2" t="n">
        <v>4.26</v>
      </c>
      <c r="O90" s="2" t="n">
        <v>7.94</v>
      </c>
      <c r="P90" s="2" t="n">
        <v>131.85</v>
      </c>
      <c r="Q90" s="2"/>
      <c r="R90" s="2"/>
      <c r="S90" s="2" t="s">
        <v>636</v>
      </c>
      <c r="T90" s="2" t="n">
        <v>63.6</v>
      </c>
      <c r="U90" s="2" t="n">
        <f aca="false">T90+(ROW()-2)*0.0000001</f>
        <v>63.6000088</v>
      </c>
    </row>
    <row r="91" customFormat="false" ht="15" hidden="false" customHeight="false" outlineLevel="0" collapsed="false">
      <c r="A91" s="2" t="s">
        <v>279</v>
      </c>
      <c r="B91" s="2" t="s">
        <v>78</v>
      </c>
      <c r="C91" s="2" t="s">
        <v>31</v>
      </c>
      <c r="D91" s="2" t="s">
        <v>280</v>
      </c>
      <c r="E91" s="2" t="n">
        <v>28.6353</v>
      </c>
      <c r="F91" s="2" t="n">
        <v>77.225</v>
      </c>
      <c r="G91" s="2" t="n">
        <v>2024</v>
      </c>
      <c r="H91" s="2" t="n">
        <v>4.95</v>
      </c>
      <c r="I91" s="2" t="n">
        <v>48.5</v>
      </c>
      <c r="J91" s="2" t="n">
        <v>13.5</v>
      </c>
      <c r="K91" s="2" t="n">
        <v>46.2</v>
      </c>
      <c r="L91" s="2" t="n">
        <v>47.1</v>
      </c>
      <c r="M91" s="2" t="n">
        <v>62.5</v>
      </c>
      <c r="N91" s="2" t="n">
        <v>1.52</v>
      </c>
      <c r="O91" s="2" t="n">
        <v>2.18</v>
      </c>
      <c r="P91" s="2" t="n">
        <v>35.2</v>
      </c>
      <c r="Q91" s="2" t="n">
        <v>164</v>
      </c>
      <c r="R91" s="2" t="n">
        <v>45</v>
      </c>
      <c r="S91" s="2" t="s">
        <v>636</v>
      </c>
      <c r="T91" s="2" t="n">
        <v>66.4</v>
      </c>
      <c r="U91" s="2" t="n">
        <f aca="false">T91+(ROW()-2)*0.0000001</f>
        <v>66.4000089</v>
      </c>
    </row>
    <row r="92" customFormat="false" ht="15" hidden="false" customHeight="false" outlineLevel="0" collapsed="false">
      <c r="A92" s="2" t="s">
        <v>274</v>
      </c>
      <c r="B92" s="2" t="s">
        <v>51</v>
      </c>
      <c r="C92" s="2" t="s">
        <v>36</v>
      </c>
      <c r="D92" s="2" t="s">
        <v>275</v>
      </c>
      <c r="E92" s="2" t="n">
        <v>-6.19752</v>
      </c>
      <c r="F92" s="2" t="n">
        <v>106.83</v>
      </c>
      <c r="G92" s="2" t="n">
        <v>2024</v>
      </c>
      <c r="H92" s="2" t="n">
        <v>2.18</v>
      </c>
      <c r="I92" s="2" t="n">
        <v>47.2</v>
      </c>
      <c r="J92" s="2" t="n">
        <v>12.8</v>
      </c>
      <c r="K92" s="2" t="n">
        <v>45.1</v>
      </c>
      <c r="L92" s="2" t="n">
        <v>45.8</v>
      </c>
      <c r="M92" s="2" t="n">
        <v>60.8</v>
      </c>
      <c r="N92" s="2" t="n">
        <v>1.45</v>
      </c>
      <c r="O92" s="2" t="n">
        <v>2.05</v>
      </c>
      <c r="P92" s="2" t="n">
        <v>32.4</v>
      </c>
      <c r="Q92" s="2" t="n">
        <v>305</v>
      </c>
      <c r="R92" s="2" t="n">
        <v>55</v>
      </c>
      <c r="S92" s="2" t="s">
        <v>636</v>
      </c>
      <c r="T92" s="2" t="n">
        <v>67.2</v>
      </c>
      <c r="U92" s="2" t="n">
        <f aca="false">T92+(ROW()-2)*0.0000001</f>
        <v>67.200009</v>
      </c>
    </row>
    <row r="93" customFormat="false" ht="15" hidden="false" customHeight="false" outlineLevel="0" collapsed="false">
      <c r="A93" s="2" t="s">
        <v>285</v>
      </c>
      <c r="B93" s="2" t="s">
        <v>25</v>
      </c>
      <c r="C93" s="2" t="s">
        <v>36</v>
      </c>
      <c r="D93" s="2" t="s">
        <v>286</v>
      </c>
      <c r="E93" s="2" t="n">
        <v>35.6878</v>
      </c>
      <c r="F93" s="2" t="n">
        <v>51.4447</v>
      </c>
      <c r="G93" s="2" t="n">
        <v>2024</v>
      </c>
      <c r="H93" s="2" t="n">
        <v>32.46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 t="s">
        <v>637</v>
      </c>
      <c r="T93" s="2" t="n">
        <v>47.8</v>
      </c>
      <c r="U93" s="2" t="n">
        <f aca="false">T93+(ROW()-2)*0.0000001</f>
        <v>47.8000091</v>
      </c>
    </row>
    <row r="94" customFormat="false" ht="15" hidden="false" customHeight="false" outlineLevel="0" collapsed="false">
      <c r="A94" s="2" t="s">
        <v>288</v>
      </c>
      <c r="B94" s="2" t="s">
        <v>25</v>
      </c>
      <c r="C94" s="2" t="s">
        <v>36</v>
      </c>
      <c r="D94" s="2" t="s">
        <v>289</v>
      </c>
      <c r="E94" s="2" t="n">
        <v>33.3302</v>
      </c>
      <c r="F94" s="2" t="n">
        <v>44.394</v>
      </c>
      <c r="G94" s="2" t="n">
        <v>2024</v>
      </c>
      <c r="H94" s="2" t="n">
        <v>2.61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 t="s">
        <v>637</v>
      </c>
      <c r="T94" s="2" t="n">
        <v>56.7</v>
      </c>
      <c r="U94" s="2" t="n">
        <f aca="false">T94+(ROW()-2)*0.0000001</f>
        <v>56.7000092</v>
      </c>
    </row>
    <row r="95" customFormat="false" ht="15" hidden="false" customHeight="false" outlineLevel="0" collapsed="false">
      <c r="A95" s="2" t="s">
        <v>282</v>
      </c>
      <c r="B95" s="2" t="s">
        <v>35</v>
      </c>
      <c r="C95" s="2" t="s">
        <v>22</v>
      </c>
      <c r="D95" s="2" t="s">
        <v>283</v>
      </c>
      <c r="E95" s="2" t="n">
        <v>53.3441</v>
      </c>
      <c r="F95" s="2" t="n">
        <v>-6.26749</v>
      </c>
      <c r="G95" s="2" t="n">
        <v>2024</v>
      </c>
      <c r="H95" s="2" t="n">
        <v>2.11</v>
      </c>
      <c r="I95" s="2" t="n">
        <v>68.9</v>
      </c>
      <c r="J95" s="2" t="n">
        <v>40.2</v>
      </c>
      <c r="K95" s="2" t="n">
        <v>64.7</v>
      </c>
      <c r="L95" s="2" t="n">
        <v>70.1</v>
      </c>
      <c r="M95" s="2" t="n">
        <v>92.4</v>
      </c>
      <c r="N95" s="2"/>
      <c r="O95" s="2"/>
      <c r="P95" s="2"/>
      <c r="Q95" s="2"/>
      <c r="R95" s="2"/>
      <c r="S95" s="2" t="s">
        <v>636</v>
      </c>
      <c r="T95" s="2" t="n">
        <v>66.6</v>
      </c>
      <c r="U95" s="2" t="n">
        <f aca="false">T95+(ROW()-2)*0.0000001</f>
        <v>66.6000093</v>
      </c>
    </row>
    <row r="96" customFormat="false" ht="15" hidden="false" customHeight="false" outlineLevel="0" collapsed="false">
      <c r="A96" s="2" t="s">
        <v>277</v>
      </c>
      <c r="B96" s="2" t="s">
        <v>35</v>
      </c>
      <c r="C96" s="2" t="s">
        <v>22</v>
      </c>
      <c r="D96" s="2" t="s">
        <v>278</v>
      </c>
      <c r="E96" s="2" t="n">
        <v>54.1509</v>
      </c>
      <c r="F96" s="2" t="n">
        <v>-4.47928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 t="s">
        <v>638</v>
      </c>
      <c r="T96" s="2" t="n">
        <v>54.5</v>
      </c>
      <c r="U96" s="2" t="n">
        <f aca="false">T96+(ROW()-2)*0.0000001</f>
        <v>54.5000094</v>
      </c>
    </row>
    <row r="97" customFormat="false" ht="15" hidden="false" customHeight="false" outlineLevel="0" collapsed="false">
      <c r="A97" s="2" t="s">
        <v>294</v>
      </c>
      <c r="B97" s="2" t="s">
        <v>25</v>
      </c>
      <c r="C97" s="2" t="s">
        <v>22</v>
      </c>
      <c r="D97" s="2"/>
      <c r="E97" s="2" t="n">
        <v>31.7717</v>
      </c>
      <c r="F97" s="2" t="n">
        <v>35.2035</v>
      </c>
      <c r="G97" s="2" t="n">
        <v>2024</v>
      </c>
      <c r="H97" s="2" t="n">
        <v>3.07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 t="s">
        <v>637</v>
      </c>
      <c r="T97" s="2" t="n">
        <v>56.6</v>
      </c>
      <c r="U97" s="2" t="n">
        <f aca="false">T97+(ROW()-2)*0.0000001</f>
        <v>56.6000095</v>
      </c>
    </row>
    <row r="98" customFormat="false" ht="15" hidden="false" customHeight="false" outlineLevel="0" collapsed="false">
      <c r="A98" s="2" t="s">
        <v>296</v>
      </c>
      <c r="B98" s="2" t="s">
        <v>35</v>
      </c>
      <c r="C98" s="2" t="s">
        <v>22</v>
      </c>
      <c r="D98" s="2" t="s">
        <v>297</v>
      </c>
      <c r="E98" s="2" t="n">
        <v>41.8955</v>
      </c>
      <c r="F98" s="2" t="n">
        <v>12.4823</v>
      </c>
      <c r="G98" s="2" t="n">
        <v>2024</v>
      </c>
      <c r="H98" s="2" t="n">
        <v>0.98</v>
      </c>
      <c r="I98" s="2" t="n">
        <v>62.5</v>
      </c>
      <c r="J98" s="2" t="n">
        <v>23.7</v>
      </c>
      <c r="K98" s="2" t="n">
        <v>58.2</v>
      </c>
      <c r="L98" s="2" t="n">
        <v>60.5</v>
      </c>
      <c r="M98" s="2" t="n">
        <v>83.6</v>
      </c>
      <c r="N98" s="2" t="n">
        <v>2.65</v>
      </c>
      <c r="O98" s="2" t="n">
        <v>4.25</v>
      </c>
      <c r="P98" s="2" t="n">
        <v>98.5</v>
      </c>
      <c r="Q98" s="2" t="n">
        <v>550</v>
      </c>
      <c r="R98" s="2" t="n">
        <v>110</v>
      </c>
      <c r="S98" s="2" t="s">
        <v>636</v>
      </c>
      <c r="T98" s="2" t="n">
        <v>68.5</v>
      </c>
      <c r="U98" s="2" t="n">
        <f aca="false">T98+(ROW()-2)*0.0000001</f>
        <v>68.5000096</v>
      </c>
    </row>
    <row r="99" customFormat="false" ht="15" hidden="false" customHeight="false" outlineLevel="0" collapsed="false">
      <c r="A99" s="2" t="s">
        <v>299</v>
      </c>
      <c r="B99" s="2" t="s">
        <v>640</v>
      </c>
      <c r="C99" s="2" t="s">
        <v>36</v>
      </c>
      <c r="D99" s="2" t="s">
        <v>300</v>
      </c>
      <c r="E99" s="2" t="n">
        <v>17.9927</v>
      </c>
      <c r="F99" s="2" t="n">
        <v>-76.792</v>
      </c>
      <c r="G99" s="2" t="n">
        <v>2024</v>
      </c>
      <c r="H99" s="2" t="n">
        <v>5.41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 t="s">
        <v>637</v>
      </c>
      <c r="T99" s="2" t="n">
        <v>55.9</v>
      </c>
      <c r="U99" s="2" t="n">
        <f aca="false">T99+(ROW()-2)*0.0000001</f>
        <v>55.9000097</v>
      </c>
    </row>
    <row r="100" customFormat="false" ht="15" hidden="false" customHeight="false" outlineLevel="0" collapsed="false">
      <c r="A100" s="2" t="s">
        <v>305</v>
      </c>
      <c r="B100" s="2" t="s">
        <v>51</v>
      </c>
      <c r="C100" s="2" t="s">
        <v>22</v>
      </c>
      <c r="D100" s="2" t="s">
        <v>306</v>
      </c>
      <c r="E100" s="2" t="n">
        <v>35.67</v>
      </c>
      <c r="F100" s="2" t="n">
        <v>139.77</v>
      </c>
      <c r="G100" s="2" t="n">
        <v>2024</v>
      </c>
      <c r="H100" s="2" t="n">
        <v>2.74</v>
      </c>
      <c r="I100" s="2" t="n">
        <v>63.2</v>
      </c>
      <c r="J100" s="2" t="n">
        <v>24.8</v>
      </c>
      <c r="K100" s="2" t="n">
        <v>58.9</v>
      </c>
      <c r="L100" s="2" t="n">
        <v>61.2</v>
      </c>
      <c r="M100" s="2" t="n">
        <v>85.4</v>
      </c>
      <c r="N100" s="2" t="n">
        <v>2.85</v>
      </c>
      <c r="O100" s="2"/>
      <c r="P100" s="2"/>
      <c r="Q100" s="2" t="n">
        <v>750</v>
      </c>
      <c r="R100" s="2" t="n">
        <v>130</v>
      </c>
      <c r="S100" s="2" t="s">
        <v>636</v>
      </c>
      <c r="T100" s="2" t="n">
        <v>68.2</v>
      </c>
      <c r="U100" s="2" t="n">
        <f aca="false">T100+(ROW()-2)*0.0000001</f>
        <v>68.2000098</v>
      </c>
    </row>
    <row r="101" customFormat="false" ht="15" hidden="false" customHeight="false" outlineLevel="0" collapsed="false">
      <c r="A101" s="2" t="s">
        <v>302</v>
      </c>
      <c r="B101" s="2" t="s">
        <v>25</v>
      </c>
      <c r="C101" s="2" t="s">
        <v>36</v>
      </c>
      <c r="D101" s="2" t="s">
        <v>303</v>
      </c>
      <c r="E101" s="2" t="n">
        <v>31.9497</v>
      </c>
      <c r="F101" s="2" t="n">
        <v>35.9263</v>
      </c>
      <c r="G101" s="2" t="n">
        <v>2024</v>
      </c>
      <c r="H101" s="2" t="n">
        <v>1.56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 t="s">
        <v>637</v>
      </c>
      <c r="T101" s="2" t="n">
        <v>57</v>
      </c>
      <c r="U101" s="2" t="n">
        <f aca="false">T101+(ROW()-2)*0.0000001</f>
        <v>57.0000099</v>
      </c>
    </row>
    <row r="102" customFormat="false" ht="15" hidden="false" customHeight="false" outlineLevel="0" collapsed="false">
      <c r="A102" s="2" t="s">
        <v>308</v>
      </c>
      <c r="B102" s="2" t="s">
        <v>35</v>
      </c>
      <c r="C102" s="2" t="s">
        <v>36</v>
      </c>
      <c r="D102" s="2" t="s">
        <v>309</v>
      </c>
      <c r="E102" s="2" t="n">
        <v>51.1879</v>
      </c>
      <c r="F102" s="2" t="n">
        <v>71.4382</v>
      </c>
      <c r="G102" s="2" t="n">
        <v>2024</v>
      </c>
      <c r="H102" s="2" t="n">
        <v>8.69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 t="s">
        <v>637</v>
      </c>
      <c r="T102" s="2" t="n">
        <v>54.9</v>
      </c>
      <c r="U102" s="2" t="n">
        <f aca="false">T102+(ROW()-2)*0.0000001</f>
        <v>54.90001</v>
      </c>
    </row>
    <row r="103" customFormat="false" ht="15" hidden="false" customHeight="false" outlineLevel="0" collapsed="false">
      <c r="A103" s="2" t="s">
        <v>311</v>
      </c>
      <c r="B103" s="2" t="s">
        <v>639</v>
      </c>
      <c r="C103" s="2" t="s">
        <v>31</v>
      </c>
      <c r="D103" s="2" t="s">
        <v>312</v>
      </c>
      <c r="E103" s="2" t="n">
        <v>-1.27975</v>
      </c>
      <c r="F103" s="2" t="n">
        <v>36.8126</v>
      </c>
      <c r="G103" s="2" t="n">
        <v>2024</v>
      </c>
      <c r="H103" s="2" t="n">
        <v>4.49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 t="s">
        <v>637</v>
      </c>
      <c r="T103" s="2" t="n">
        <v>56.2</v>
      </c>
      <c r="U103" s="2" t="n">
        <f aca="false">T103+(ROW()-2)*0.0000001</f>
        <v>56.2000101</v>
      </c>
    </row>
    <row r="104" customFormat="false" ht="15" hidden="false" customHeight="false" outlineLevel="0" collapsed="false">
      <c r="A104" s="2" t="s">
        <v>320</v>
      </c>
      <c r="B104" s="2" t="s">
        <v>51</v>
      </c>
      <c r="C104" s="2" t="s">
        <v>31</v>
      </c>
      <c r="D104" s="2" t="s">
        <v>321</v>
      </c>
      <c r="E104" s="2" t="n">
        <v>1.32905</v>
      </c>
      <c r="F104" s="2" t="n">
        <v>172.979</v>
      </c>
      <c r="G104" s="2" t="n">
        <v>2024</v>
      </c>
      <c r="H104" s="2" t="n">
        <v>2.46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 t="s">
        <v>637</v>
      </c>
      <c r="T104" s="2" t="n">
        <v>56.8</v>
      </c>
      <c r="U104" s="2" t="n">
        <f aca="false">T104+(ROW()-2)*0.0000001</f>
        <v>56.8000102</v>
      </c>
    </row>
    <row r="105" customFormat="false" ht="15" hidden="false" customHeight="false" outlineLevel="0" collapsed="false">
      <c r="A105" s="2" t="s">
        <v>473</v>
      </c>
      <c r="B105" s="2" t="s">
        <v>51</v>
      </c>
      <c r="C105" s="2" t="s">
        <v>26</v>
      </c>
      <c r="D105" s="2" t="s">
        <v>474</v>
      </c>
      <c r="E105" s="2" t="n">
        <v>39.0319</v>
      </c>
      <c r="F105" s="2" t="n">
        <v>125.754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 t="s">
        <v>638</v>
      </c>
      <c r="T105" s="2" t="n">
        <v>54.5</v>
      </c>
      <c r="U105" s="2" t="n">
        <f aca="false">T105+(ROW()-2)*0.0000001</f>
        <v>54.5000103</v>
      </c>
    </row>
    <row r="106" customFormat="false" ht="15" hidden="false" customHeight="false" outlineLevel="0" collapsed="false">
      <c r="A106" s="2" t="s">
        <v>326</v>
      </c>
      <c r="B106" s="2" t="s">
        <v>51</v>
      </c>
      <c r="C106" s="2" t="s">
        <v>22</v>
      </c>
      <c r="D106" s="2" t="s">
        <v>327</v>
      </c>
      <c r="E106" s="2" t="n">
        <v>37.5323</v>
      </c>
      <c r="F106" s="2" t="n">
        <v>126.957</v>
      </c>
      <c r="G106" s="2" t="n">
        <v>2024</v>
      </c>
      <c r="H106" s="2" t="n">
        <v>2.32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 t="s">
        <v>637</v>
      </c>
      <c r="T106" s="2" t="n">
        <v>56.8</v>
      </c>
      <c r="U106" s="2" t="n">
        <f aca="false">T106+(ROW()-2)*0.0000001</f>
        <v>56.8000104</v>
      </c>
    </row>
    <row r="107" customFormat="false" ht="15" hidden="false" customHeight="false" outlineLevel="0" collapsed="false">
      <c r="A107" s="2" t="s">
        <v>619</v>
      </c>
      <c r="B107" s="2" t="s">
        <v>35</v>
      </c>
      <c r="C107" s="2" t="s">
        <v>36</v>
      </c>
      <c r="D107" s="2" t="s">
        <v>620</v>
      </c>
      <c r="E107" s="2" t="n">
        <v>42.565</v>
      </c>
      <c r="F107" s="2" t="n">
        <v>20.926</v>
      </c>
      <c r="G107" s="2" t="n">
        <v>2024</v>
      </c>
      <c r="H107" s="2" t="n">
        <v>1.62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 t="s">
        <v>637</v>
      </c>
      <c r="T107" s="2" t="n">
        <v>57</v>
      </c>
      <c r="U107" s="2" t="n">
        <f aca="false">T107+(ROW()-2)*0.0000001</f>
        <v>57.0000105</v>
      </c>
    </row>
    <row r="108" customFormat="false" ht="15" hidden="false" customHeight="false" outlineLevel="0" collapsed="false">
      <c r="A108" s="2" t="s">
        <v>329</v>
      </c>
      <c r="B108" s="2" t="s">
        <v>25</v>
      </c>
      <c r="C108" s="2" t="s">
        <v>22</v>
      </c>
      <c r="D108" s="2" t="s">
        <v>330</v>
      </c>
      <c r="E108" s="2" t="n">
        <v>29.3721</v>
      </c>
      <c r="F108" s="2" t="n">
        <v>47.9824</v>
      </c>
      <c r="G108" s="2" t="n">
        <v>2024</v>
      </c>
      <c r="H108" s="2" t="n">
        <v>2.9</v>
      </c>
      <c r="I108" s="2" t="n">
        <v>67.5</v>
      </c>
      <c r="J108" s="2" t="n">
        <v>27.8</v>
      </c>
      <c r="K108" s="2" t="n">
        <v>63.8</v>
      </c>
      <c r="L108" s="2" t="n">
        <v>65.2</v>
      </c>
      <c r="M108" s="2" t="n">
        <v>88.2</v>
      </c>
      <c r="N108" s="2"/>
      <c r="O108" s="2"/>
      <c r="P108" s="2"/>
      <c r="Q108" s="2" t="n">
        <v>680</v>
      </c>
      <c r="R108" s="2"/>
      <c r="S108" s="2" t="s">
        <v>636</v>
      </c>
      <c r="T108" s="2" t="n">
        <v>67.2</v>
      </c>
      <c r="U108" s="2" t="n">
        <f aca="false">T108+(ROW()-2)*0.0000001</f>
        <v>67.2000106</v>
      </c>
    </row>
    <row r="109" customFormat="false" ht="15" hidden="false" customHeight="false" outlineLevel="0" collapsed="false">
      <c r="A109" s="2" t="s">
        <v>314</v>
      </c>
      <c r="B109" s="2" t="s">
        <v>35</v>
      </c>
      <c r="C109" s="2" t="s">
        <v>31</v>
      </c>
      <c r="D109" s="2" t="s">
        <v>315</v>
      </c>
      <c r="E109" s="2" t="n">
        <v>42.8851</v>
      </c>
      <c r="F109" s="2" t="n">
        <v>74.6057</v>
      </c>
      <c r="G109" s="2" t="n">
        <v>2024</v>
      </c>
      <c r="H109" s="2" t="n">
        <v>5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 t="s">
        <v>637</v>
      </c>
      <c r="T109" s="2" t="n">
        <v>56</v>
      </c>
      <c r="U109" s="2" t="n">
        <f aca="false">T109+(ROW()-2)*0.0000001</f>
        <v>56.0000107</v>
      </c>
    </row>
    <row r="110" customFormat="false" ht="15" hidden="false" customHeight="false" outlineLevel="0" collapsed="false">
      <c r="A110" s="2" t="s">
        <v>332</v>
      </c>
      <c r="B110" s="2" t="s">
        <v>51</v>
      </c>
      <c r="C110" s="2" t="s">
        <v>31</v>
      </c>
      <c r="D110" s="2" t="s">
        <v>333</v>
      </c>
      <c r="E110" s="2" t="n">
        <v>18.5826</v>
      </c>
      <c r="F110" s="2" t="n">
        <v>102.177</v>
      </c>
      <c r="G110" s="2" t="n">
        <v>2024</v>
      </c>
      <c r="H110" s="2" t="n">
        <v>23.13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 t="s">
        <v>637</v>
      </c>
      <c r="T110" s="2" t="n">
        <v>50.6</v>
      </c>
      <c r="U110" s="2" t="n">
        <f aca="false">T110+(ROW()-2)*0.0000001</f>
        <v>50.6000108</v>
      </c>
    </row>
    <row r="111" customFormat="false" ht="15" hidden="false" customHeight="false" outlineLevel="0" collapsed="false">
      <c r="A111" s="2" t="s">
        <v>360</v>
      </c>
      <c r="B111" s="2" t="s">
        <v>35</v>
      </c>
      <c r="C111" s="2" t="s">
        <v>22</v>
      </c>
      <c r="D111" s="2" t="s">
        <v>361</v>
      </c>
      <c r="E111" s="2" t="n">
        <v>56.9465</v>
      </c>
      <c r="F111" s="2" t="n">
        <v>24.1048</v>
      </c>
      <c r="G111" s="2" t="n">
        <v>2024</v>
      </c>
      <c r="H111" s="2" t="n">
        <v>1.27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 t="s">
        <v>637</v>
      </c>
      <c r="T111" s="2" t="n">
        <v>57.1</v>
      </c>
      <c r="U111" s="2" t="n">
        <f aca="false">T111+(ROW()-2)*0.0000001</f>
        <v>57.1000109</v>
      </c>
    </row>
    <row r="112" customFormat="false" ht="15" hidden="false" customHeight="false" outlineLevel="0" collapsed="false">
      <c r="A112" s="2" t="s">
        <v>335</v>
      </c>
      <c r="B112" s="2" t="s">
        <v>25</v>
      </c>
      <c r="C112" s="2" t="s">
        <v>31</v>
      </c>
      <c r="D112" s="2" t="s">
        <v>336</v>
      </c>
      <c r="E112" s="2" t="n">
        <v>33.8872</v>
      </c>
      <c r="F112" s="2" t="n">
        <v>35.5134</v>
      </c>
      <c r="G112" s="2" t="n">
        <v>2024</v>
      </c>
      <c r="H112" s="2" t="n">
        <v>45.24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 t="s">
        <v>637</v>
      </c>
      <c r="T112" s="2" t="n">
        <v>43.9</v>
      </c>
      <c r="U112" s="2" t="n">
        <f aca="false">T112+(ROW()-2)*0.0000001</f>
        <v>43.900011</v>
      </c>
    </row>
    <row r="113" customFormat="false" ht="15" hidden="false" customHeight="false" outlineLevel="0" collapsed="false">
      <c r="A113" s="2" t="s">
        <v>352</v>
      </c>
      <c r="B113" s="2" t="s">
        <v>639</v>
      </c>
      <c r="C113" s="2" t="s">
        <v>31</v>
      </c>
      <c r="D113" s="2" t="s">
        <v>353</v>
      </c>
      <c r="E113" s="2" t="n">
        <v>-29.5208</v>
      </c>
      <c r="F113" s="2" t="n">
        <v>27.7167</v>
      </c>
      <c r="G113" s="2" t="n">
        <v>2024</v>
      </c>
      <c r="H113" s="2" t="n">
        <v>6.11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 t="s">
        <v>637</v>
      </c>
      <c r="T113" s="2" t="n">
        <v>55.7</v>
      </c>
      <c r="U113" s="2" t="n">
        <f aca="false">T113+(ROW()-2)*0.0000001</f>
        <v>55.7000111</v>
      </c>
    </row>
    <row r="114" customFormat="false" ht="15" hidden="false" customHeight="false" outlineLevel="0" collapsed="false">
      <c r="A114" s="2" t="s">
        <v>338</v>
      </c>
      <c r="B114" s="2" t="s">
        <v>639</v>
      </c>
      <c r="C114" s="2" t="s">
        <v>26</v>
      </c>
      <c r="D114" s="2" t="s">
        <v>339</v>
      </c>
      <c r="E114" s="2" t="n">
        <v>6.30039</v>
      </c>
      <c r="F114" s="2" t="n">
        <v>-10.7957</v>
      </c>
      <c r="G114" s="2" t="n">
        <v>2024</v>
      </c>
      <c r="H114" s="2" t="n">
        <v>8.21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 t="s">
        <v>637</v>
      </c>
      <c r="T114" s="2" t="n">
        <v>55</v>
      </c>
      <c r="U114" s="2" t="n">
        <f aca="false">T114+(ROW()-2)*0.0000001</f>
        <v>55.0000112</v>
      </c>
    </row>
    <row r="115" customFormat="false" ht="15" hidden="false" customHeight="false" outlineLevel="0" collapsed="false">
      <c r="A115" s="2" t="s">
        <v>341</v>
      </c>
      <c r="B115" s="2" t="s">
        <v>25</v>
      </c>
      <c r="C115" s="2" t="s">
        <v>36</v>
      </c>
      <c r="D115" s="2" t="s">
        <v>342</v>
      </c>
      <c r="E115" s="2" t="n">
        <v>32.8578</v>
      </c>
      <c r="F115" s="2" t="n">
        <v>13.1072</v>
      </c>
      <c r="G115" s="2" t="n">
        <v>2024</v>
      </c>
      <c r="H115" s="2" t="n">
        <v>2.13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 t="s">
        <v>637</v>
      </c>
      <c r="T115" s="2" t="n">
        <v>56.9</v>
      </c>
      <c r="U115" s="2" t="n">
        <f aca="false">T115+(ROW()-2)*0.0000001</f>
        <v>56.9000113</v>
      </c>
    </row>
    <row r="116" customFormat="false" ht="15" hidden="false" customHeight="false" outlineLevel="0" collapsed="false">
      <c r="A116" s="2" t="s">
        <v>347</v>
      </c>
      <c r="B116" s="2" t="s">
        <v>35</v>
      </c>
      <c r="C116" s="2" t="s">
        <v>22</v>
      </c>
      <c r="D116" s="2" t="s">
        <v>348</v>
      </c>
      <c r="E116" s="2" t="n">
        <v>47.1411</v>
      </c>
      <c r="F116" s="2" t="n">
        <v>9.52148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 t="s">
        <v>638</v>
      </c>
      <c r="T116" s="2" t="n">
        <v>54.5</v>
      </c>
      <c r="U116" s="2" t="n">
        <f aca="false">T116+(ROW()-2)*0.0000001</f>
        <v>54.5000114</v>
      </c>
    </row>
    <row r="117" customFormat="false" ht="15" hidden="false" customHeight="false" outlineLevel="0" collapsed="false">
      <c r="A117" s="2" t="s">
        <v>355</v>
      </c>
      <c r="B117" s="2" t="s">
        <v>35</v>
      </c>
      <c r="C117" s="2" t="s">
        <v>22</v>
      </c>
      <c r="D117" s="2" t="s">
        <v>356</v>
      </c>
      <c r="E117" s="2" t="n">
        <v>54.6896</v>
      </c>
      <c r="F117" s="2" t="n">
        <v>25.2799</v>
      </c>
      <c r="G117" s="2" t="n">
        <v>2024</v>
      </c>
      <c r="H117" s="2" t="n">
        <v>0.72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 t="s">
        <v>637</v>
      </c>
      <c r="T117" s="2" t="n">
        <v>57.3</v>
      </c>
      <c r="U117" s="2" t="n">
        <f aca="false">T117+(ROW()-2)*0.0000001</f>
        <v>57.3000115</v>
      </c>
    </row>
    <row r="118" customFormat="false" ht="15" hidden="false" customHeight="false" outlineLevel="0" collapsed="false">
      <c r="A118" s="2" t="s">
        <v>358</v>
      </c>
      <c r="B118" s="2" t="s">
        <v>35</v>
      </c>
      <c r="C118" s="2" t="s">
        <v>22</v>
      </c>
      <c r="D118" s="2" t="s">
        <v>358</v>
      </c>
      <c r="E118" s="2" t="n">
        <v>49.61</v>
      </c>
      <c r="F118" s="2" t="n">
        <v>6.1296</v>
      </c>
      <c r="G118" s="2" t="n">
        <v>2024</v>
      </c>
      <c r="H118" s="2" t="n">
        <v>2.05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 t="s">
        <v>637</v>
      </c>
      <c r="T118" s="2" t="n">
        <v>56.9</v>
      </c>
      <c r="U118" s="2" t="n">
        <f aca="false">T118+(ROW()-2)*0.0000001</f>
        <v>56.9000116</v>
      </c>
    </row>
    <row r="119" customFormat="false" ht="15" hidden="false" customHeight="false" outlineLevel="0" collapsed="false">
      <c r="A119" s="2" t="s">
        <v>363</v>
      </c>
      <c r="B119" s="2" t="s">
        <v>51</v>
      </c>
      <c r="C119" s="2" t="s">
        <v>22</v>
      </c>
      <c r="D119" s="2"/>
      <c r="E119" s="2" t="n">
        <v>22.1667</v>
      </c>
      <c r="F119" s="2" t="n">
        <v>113.55</v>
      </c>
      <c r="G119" s="2" t="n">
        <v>2024</v>
      </c>
      <c r="H119" s="2" t="n">
        <v>0.67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 t="s">
        <v>637</v>
      </c>
      <c r="T119" s="2" t="n">
        <v>57.3</v>
      </c>
      <c r="U119" s="2" t="n">
        <f aca="false">T119+(ROW()-2)*0.0000001</f>
        <v>57.3000117</v>
      </c>
    </row>
    <row r="120" customFormat="false" ht="15" hidden="false" customHeight="false" outlineLevel="0" collapsed="false">
      <c r="A120" s="2" t="s">
        <v>374</v>
      </c>
      <c r="B120" s="2" t="s">
        <v>639</v>
      </c>
      <c r="C120" s="2" t="s">
        <v>26</v>
      </c>
      <c r="D120" s="2" t="s">
        <v>375</v>
      </c>
      <c r="E120" s="2" t="n">
        <v>-20.4667</v>
      </c>
      <c r="F120" s="2" t="n">
        <v>45.7167</v>
      </c>
      <c r="G120" s="2" t="n">
        <v>2024</v>
      </c>
      <c r="H120" s="2" t="n">
        <v>7.61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 t="s">
        <v>637</v>
      </c>
      <c r="T120" s="2" t="n">
        <v>55.2</v>
      </c>
      <c r="U120" s="2" t="n">
        <f aca="false">T120+(ROW()-2)*0.0000001</f>
        <v>55.2000118</v>
      </c>
    </row>
    <row r="121" customFormat="false" ht="15" hidden="false" customHeight="false" outlineLevel="0" collapsed="false">
      <c r="A121" s="2" t="s">
        <v>413</v>
      </c>
      <c r="B121" s="2" t="s">
        <v>639</v>
      </c>
      <c r="C121" s="2" t="s">
        <v>26</v>
      </c>
      <c r="D121" s="2" t="s">
        <v>414</v>
      </c>
      <c r="E121" s="2" t="n">
        <v>-13.9899</v>
      </c>
      <c r="F121" s="2" t="n">
        <v>33.7703</v>
      </c>
      <c r="G121" s="2" t="n">
        <v>2024</v>
      </c>
      <c r="H121" s="2" t="n">
        <v>32.18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 t="s">
        <v>637</v>
      </c>
      <c r="T121" s="2" t="n">
        <v>47.8</v>
      </c>
      <c r="U121" s="2" t="n">
        <f aca="false">T121+(ROW()-2)*0.0000001</f>
        <v>47.8000119</v>
      </c>
    </row>
    <row r="122" customFormat="false" ht="15" hidden="false" customHeight="false" outlineLevel="0" collapsed="false">
      <c r="A122" s="2" t="s">
        <v>416</v>
      </c>
      <c r="B122" s="2" t="s">
        <v>51</v>
      </c>
      <c r="C122" s="2" t="s">
        <v>36</v>
      </c>
      <c r="D122" s="2" t="s">
        <v>417</v>
      </c>
      <c r="E122" s="2" t="n">
        <v>3.12433</v>
      </c>
      <c r="F122" s="2" t="n">
        <v>101.684</v>
      </c>
      <c r="G122" s="2" t="n">
        <v>2024</v>
      </c>
      <c r="H122" s="2" t="n">
        <v>1.83</v>
      </c>
      <c r="I122" s="2" t="n">
        <v>56.8</v>
      </c>
      <c r="J122" s="2" t="n">
        <v>19.5</v>
      </c>
      <c r="K122" s="2" t="n">
        <v>53.8</v>
      </c>
      <c r="L122" s="2" t="n">
        <v>54.8</v>
      </c>
      <c r="M122" s="2" t="n">
        <v>75.2</v>
      </c>
      <c r="N122" s="2"/>
      <c r="O122" s="2"/>
      <c r="P122" s="2"/>
      <c r="Q122" s="2" t="n">
        <v>380</v>
      </c>
      <c r="R122" s="2"/>
      <c r="S122" s="2" t="s">
        <v>636</v>
      </c>
      <c r="T122" s="2" t="n">
        <v>68</v>
      </c>
      <c r="U122" s="2" t="n">
        <f aca="false">T122+(ROW()-2)*0.0000001</f>
        <v>68.000012</v>
      </c>
    </row>
    <row r="123" customFormat="false" ht="15" hidden="false" customHeight="false" outlineLevel="0" collapsed="false">
      <c r="A123" s="2" t="s">
        <v>377</v>
      </c>
      <c r="B123" s="2" t="s">
        <v>78</v>
      </c>
      <c r="C123" s="2" t="s">
        <v>36</v>
      </c>
      <c r="D123" s="2" t="s">
        <v>378</v>
      </c>
      <c r="E123" s="2" t="n">
        <v>4.1742</v>
      </c>
      <c r="F123" s="2" t="n">
        <v>73.5109</v>
      </c>
      <c r="G123" s="2" t="n">
        <v>2024</v>
      </c>
      <c r="H123" s="2" t="n">
        <v>1.41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 t="s">
        <v>637</v>
      </c>
      <c r="T123" s="2" t="n">
        <v>57.1</v>
      </c>
      <c r="U123" s="2" t="n">
        <f aca="false">T123+(ROW()-2)*0.0000001</f>
        <v>57.1000121</v>
      </c>
    </row>
    <row r="124" customFormat="false" ht="15" hidden="false" customHeight="false" outlineLevel="0" collapsed="false">
      <c r="A124" s="2" t="s">
        <v>388</v>
      </c>
      <c r="B124" s="2" t="s">
        <v>639</v>
      </c>
      <c r="C124" s="2" t="s">
        <v>26</v>
      </c>
      <c r="D124" s="2" t="s">
        <v>389</v>
      </c>
      <c r="E124" s="2" t="n">
        <v>13.5667</v>
      </c>
      <c r="F124" s="2" t="n">
        <v>-7.50034</v>
      </c>
      <c r="G124" s="2" t="n">
        <v>2024</v>
      </c>
      <c r="H124" s="2" t="n">
        <v>3.21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 t="s">
        <v>637</v>
      </c>
      <c r="T124" s="2" t="n">
        <v>56.5</v>
      </c>
      <c r="U124" s="2" t="n">
        <f aca="false">T124+(ROW()-2)*0.0000001</f>
        <v>56.5000122</v>
      </c>
    </row>
    <row r="125" customFormat="false" ht="15" hidden="false" customHeight="false" outlineLevel="0" collapsed="false">
      <c r="A125" s="2" t="s">
        <v>391</v>
      </c>
      <c r="B125" s="2" t="s">
        <v>25</v>
      </c>
      <c r="C125" s="2" t="s">
        <v>22</v>
      </c>
      <c r="D125" s="2" t="s">
        <v>392</v>
      </c>
      <c r="E125" s="2" t="n">
        <v>35.9042</v>
      </c>
      <c r="F125" s="2" t="n">
        <v>14.5189</v>
      </c>
      <c r="G125" s="2" t="n">
        <v>2024</v>
      </c>
      <c r="H125" s="2" t="n">
        <v>1.65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 t="s">
        <v>637</v>
      </c>
      <c r="T125" s="2" t="n">
        <v>57</v>
      </c>
      <c r="U125" s="2" t="n">
        <f aca="false">T125+(ROW()-2)*0.0000001</f>
        <v>57.0000123</v>
      </c>
    </row>
    <row r="126" customFormat="false" ht="15" hidden="false" customHeight="false" outlineLevel="0" collapsed="false">
      <c r="A126" s="2" t="s">
        <v>383</v>
      </c>
      <c r="B126" s="2" t="s">
        <v>51</v>
      </c>
      <c r="C126" s="2" t="s">
        <v>36</v>
      </c>
      <c r="D126" s="2" t="s">
        <v>384</v>
      </c>
      <c r="E126" s="2" t="n">
        <v>7.11046</v>
      </c>
      <c r="F126" s="2" t="n">
        <v>171.135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 t="s">
        <v>638</v>
      </c>
      <c r="T126" s="2" t="n">
        <v>54.5</v>
      </c>
      <c r="U126" s="2" t="n">
        <f aca="false">T126+(ROW()-2)*0.0000001</f>
        <v>54.5000124</v>
      </c>
    </row>
    <row r="127" customFormat="false" ht="15" hidden="false" customHeight="false" outlineLevel="0" collapsed="false">
      <c r="A127" s="2" t="s">
        <v>407</v>
      </c>
      <c r="B127" s="2" t="s">
        <v>639</v>
      </c>
      <c r="C127" s="2" t="s">
        <v>31</v>
      </c>
      <c r="D127" s="2" t="s">
        <v>408</v>
      </c>
      <c r="E127" s="2" t="n">
        <v>18.2367</v>
      </c>
      <c r="F127" s="2" t="n">
        <v>-15.9824</v>
      </c>
      <c r="G127" s="2" t="n">
        <v>2024</v>
      </c>
      <c r="H127" s="2" t="n">
        <v>2.49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 t="s">
        <v>637</v>
      </c>
      <c r="T127" s="2" t="n">
        <v>56.8</v>
      </c>
      <c r="U127" s="2" t="n">
        <f aca="false">T127+(ROW()-2)*0.0000001</f>
        <v>56.8000125</v>
      </c>
    </row>
    <row r="128" customFormat="false" ht="15" hidden="false" customHeight="false" outlineLevel="0" collapsed="false">
      <c r="A128" s="2" t="s">
        <v>410</v>
      </c>
      <c r="B128" s="2" t="s">
        <v>639</v>
      </c>
      <c r="C128" s="2" t="s">
        <v>36</v>
      </c>
      <c r="D128" s="2" t="s">
        <v>411</v>
      </c>
      <c r="E128" s="2" t="n">
        <v>-20.1605</v>
      </c>
      <c r="F128" s="2" t="n">
        <v>57.4977</v>
      </c>
      <c r="G128" s="2" t="n">
        <v>2024</v>
      </c>
      <c r="H128" s="2" t="n">
        <v>3.6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 t="s">
        <v>637</v>
      </c>
      <c r="T128" s="2" t="n">
        <v>56.4</v>
      </c>
      <c r="U128" s="2" t="n">
        <f aca="false">T128+(ROW()-2)*0.0000001</f>
        <v>56.4000126</v>
      </c>
    </row>
    <row r="129" customFormat="false" ht="15" hidden="false" customHeight="false" outlineLevel="0" collapsed="false">
      <c r="A129" s="2" t="s">
        <v>380</v>
      </c>
      <c r="B129" s="2" t="s">
        <v>640</v>
      </c>
      <c r="C129" s="2" t="s">
        <v>36</v>
      </c>
      <c r="D129" s="2" t="s">
        <v>381</v>
      </c>
      <c r="E129" s="2" t="n">
        <v>19.427</v>
      </c>
      <c r="F129" s="2" t="n">
        <v>-99.1276</v>
      </c>
      <c r="G129" s="2" t="n">
        <v>2024</v>
      </c>
      <c r="H129" s="2" t="n">
        <v>4.72</v>
      </c>
      <c r="I129" s="2" t="n">
        <v>52.8</v>
      </c>
      <c r="J129" s="2" t="n">
        <v>16.8</v>
      </c>
      <c r="K129" s="2" t="n">
        <v>50.1</v>
      </c>
      <c r="L129" s="2" t="n">
        <v>51.2</v>
      </c>
      <c r="M129" s="2" t="n">
        <v>69.8</v>
      </c>
      <c r="N129" s="2" t="n">
        <v>1.98</v>
      </c>
      <c r="O129" s="2" t="n">
        <v>3.05</v>
      </c>
      <c r="P129" s="2" t="n">
        <v>58.2</v>
      </c>
      <c r="Q129" s="2" t="n">
        <v>350</v>
      </c>
      <c r="R129" s="2" t="n">
        <v>55</v>
      </c>
      <c r="S129" s="2" t="s">
        <v>636</v>
      </c>
      <c r="T129" s="2" t="n">
        <v>67</v>
      </c>
      <c r="U129" s="2" t="n">
        <f aca="false">T129+(ROW()-2)*0.0000001</f>
        <v>67.0000127</v>
      </c>
    </row>
    <row r="130" customFormat="false" ht="15" hidden="false" customHeight="false" outlineLevel="0" collapsed="false">
      <c r="A130" s="2" t="s">
        <v>216</v>
      </c>
      <c r="B130" s="2" t="s">
        <v>51</v>
      </c>
      <c r="C130" s="2" t="s">
        <v>36</v>
      </c>
      <c r="D130" s="2" t="s">
        <v>217</v>
      </c>
      <c r="E130" s="2" t="n">
        <v>6.91771</v>
      </c>
      <c r="F130" s="2" t="n">
        <v>158.185</v>
      </c>
      <c r="G130" s="2" t="n">
        <v>2022</v>
      </c>
      <c r="H130" s="2" t="n">
        <v>5.41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 t="s">
        <v>637</v>
      </c>
      <c r="T130" s="2" t="n">
        <v>55.9</v>
      </c>
      <c r="U130" s="2" t="n">
        <f aca="false">T130+(ROW()-2)*0.0000001</f>
        <v>55.9000128</v>
      </c>
    </row>
    <row r="131" customFormat="false" ht="15" hidden="false" customHeight="false" outlineLevel="0" collapsed="false">
      <c r="A131" s="2" t="s">
        <v>371</v>
      </c>
      <c r="B131" s="2" t="s">
        <v>35</v>
      </c>
      <c r="C131" s="2" t="s">
        <v>36</v>
      </c>
      <c r="D131" s="2" t="s">
        <v>372</v>
      </c>
      <c r="E131" s="2" t="n">
        <v>47.0167</v>
      </c>
      <c r="F131" s="2" t="n">
        <v>28.8497</v>
      </c>
      <c r="G131" s="2" t="n">
        <v>2024</v>
      </c>
      <c r="H131" s="2" t="n">
        <v>4.68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 t="s">
        <v>637</v>
      </c>
      <c r="T131" s="2" t="n">
        <v>56.1</v>
      </c>
      <c r="U131" s="2" t="n">
        <f aca="false">T131+(ROW()-2)*0.0000001</f>
        <v>56.1000129</v>
      </c>
    </row>
    <row r="132" customFormat="false" ht="15" hidden="false" customHeight="false" outlineLevel="0" collapsed="false">
      <c r="A132" s="2" t="s">
        <v>370</v>
      </c>
      <c r="B132" s="2" t="s">
        <v>35</v>
      </c>
      <c r="C132" s="2" t="s">
        <v>22</v>
      </c>
      <c r="D132" s="2" t="s">
        <v>370</v>
      </c>
      <c r="E132" s="2" t="n">
        <v>43.7325</v>
      </c>
      <c r="F132" s="2" t="n">
        <v>7.41891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 t="s">
        <v>638</v>
      </c>
      <c r="T132" s="2" t="n">
        <v>54.5</v>
      </c>
      <c r="U132" s="2" t="n">
        <f aca="false">T132+(ROW()-2)*0.0000001</f>
        <v>54.500013</v>
      </c>
    </row>
    <row r="133" customFormat="false" ht="15" hidden="false" customHeight="false" outlineLevel="0" collapsed="false">
      <c r="A133" s="2" t="s">
        <v>399</v>
      </c>
      <c r="B133" s="2" t="s">
        <v>51</v>
      </c>
      <c r="C133" s="2" t="s">
        <v>36</v>
      </c>
      <c r="D133" s="2" t="s">
        <v>400</v>
      </c>
      <c r="E133" s="2" t="n">
        <v>47.9129</v>
      </c>
      <c r="F133" s="2" t="n">
        <v>106.937</v>
      </c>
      <c r="G133" s="2" t="n">
        <v>2024</v>
      </c>
      <c r="H133" s="2" t="n">
        <v>6.2</v>
      </c>
      <c r="I133" s="2" t="n">
        <v>47.5</v>
      </c>
      <c r="J133" s="2" t="n">
        <v>12.5</v>
      </c>
      <c r="K133" s="2" t="n">
        <v>45.5</v>
      </c>
      <c r="L133" s="2" t="n">
        <v>45.8</v>
      </c>
      <c r="M133" s="2" t="n">
        <v>60.5</v>
      </c>
      <c r="N133" s="2"/>
      <c r="O133" s="2"/>
      <c r="P133" s="2"/>
      <c r="Q133" s="2"/>
      <c r="R133" s="2"/>
      <c r="S133" s="2" t="s">
        <v>636</v>
      </c>
      <c r="T133" s="2" t="n">
        <v>65.8</v>
      </c>
      <c r="U133" s="2" t="n">
        <f aca="false">T133+(ROW()-2)*0.0000001</f>
        <v>65.8000131</v>
      </c>
    </row>
    <row r="134" customFormat="false" ht="15" hidden="false" customHeight="false" outlineLevel="0" collapsed="false">
      <c r="A134" s="2" t="s">
        <v>396</v>
      </c>
      <c r="B134" s="2" t="s">
        <v>35</v>
      </c>
      <c r="C134" s="2" t="s">
        <v>36</v>
      </c>
      <c r="D134" s="2" t="s">
        <v>397</v>
      </c>
      <c r="E134" s="2" t="n">
        <v>42.4602</v>
      </c>
      <c r="F134" s="2" t="n">
        <v>19.2595</v>
      </c>
      <c r="G134" s="2" t="n">
        <v>2024</v>
      </c>
      <c r="H134" s="2" t="n">
        <v>3.34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 t="s">
        <v>637</v>
      </c>
      <c r="T134" s="2" t="n">
        <v>56.5</v>
      </c>
      <c r="U134" s="2" t="n">
        <f aca="false">T134+(ROW()-2)*0.0000001</f>
        <v>56.5000132</v>
      </c>
    </row>
    <row r="135" customFormat="false" ht="15" hidden="false" customHeight="false" outlineLevel="0" collapsed="false">
      <c r="A135" s="2" t="s">
        <v>367</v>
      </c>
      <c r="B135" s="2" t="s">
        <v>25</v>
      </c>
      <c r="C135" s="2" t="s">
        <v>31</v>
      </c>
      <c r="D135" s="2" t="s">
        <v>368</v>
      </c>
      <c r="E135" s="2" t="n">
        <v>33.9905</v>
      </c>
      <c r="F135" s="2" t="n">
        <v>-6.8704</v>
      </c>
      <c r="G135" s="2" t="n">
        <v>2024</v>
      </c>
      <c r="H135" s="2" t="n">
        <v>0.99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 t="s">
        <v>637</v>
      </c>
      <c r="T135" s="2" t="n">
        <v>57.2</v>
      </c>
      <c r="U135" s="2" t="n">
        <f aca="false">T135+(ROW()-2)*0.0000001</f>
        <v>57.2000133</v>
      </c>
    </row>
    <row r="136" customFormat="false" ht="15" hidden="false" customHeight="false" outlineLevel="0" collapsed="false">
      <c r="A136" s="2" t="s">
        <v>404</v>
      </c>
      <c r="B136" s="2" t="s">
        <v>639</v>
      </c>
      <c r="C136" s="2" t="s">
        <v>26</v>
      </c>
      <c r="D136" s="2" t="s">
        <v>405</v>
      </c>
      <c r="E136" s="2" t="n">
        <v>-25.9664</v>
      </c>
      <c r="F136" s="2" t="n">
        <v>32.5713</v>
      </c>
      <c r="G136" s="2" t="n">
        <v>2024</v>
      </c>
      <c r="H136" s="2" t="n">
        <v>4.08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 t="s">
        <v>637</v>
      </c>
      <c r="T136" s="2" t="n">
        <v>56.3</v>
      </c>
      <c r="U136" s="2" t="n">
        <f aca="false">T136+(ROW()-2)*0.0000001</f>
        <v>56.3000134</v>
      </c>
    </row>
    <row r="137" customFormat="false" ht="15" hidden="false" customHeight="false" outlineLevel="0" collapsed="false">
      <c r="A137" s="2" t="s">
        <v>394</v>
      </c>
      <c r="B137" s="2" t="s">
        <v>51</v>
      </c>
      <c r="C137" s="2" t="s">
        <v>31</v>
      </c>
      <c r="D137" s="2" t="s">
        <v>395</v>
      </c>
      <c r="E137" s="2" t="n">
        <v>21.914</v>
      </c>
      <c r="F137" s="2" t="n">
        <v>95.9562</v>
      </c>
      <c r="G137" s="2"/>
      <c r="H137" s="2"/>
      <c r="I137" s="2" t="n">
        <v>48.8</v>
      </c>
      <c r="J137" s="2" t="n">
        <v>13.2</v>
      </c>
      <c r="K137" s="2" t="n">
        <v>46.8</v>
      </c>
      <c r="L137" s="2" t="n">
        <v>46.9</v>
      </c>
      <c r="M137" s="2" t="n">
        <v>62.8</v>
      </c>
      <c r="N137" s="2"/>
      <c r="O137" s="2"/>
      <c r="P137" s="2"/>
      <c r="Q137" s="2" t="n">
        <v>140</v>
      </c>
      <c r="R137" s="2"/>
      <c r="S137" s="2" t="s">
        <v>641</v>
      </c>
      <c r="T137" s="2" t="n">
        <v>64.9</v>
      </c>
      <c r="U137" s="2" t="n">
        <f aca="false">T137+(ROW()-2)*0.0000001</f>
        <v>64.9000135</v>
      </c>
    </row>
    <row r="138" customFormat="false" ht="15" hidden="false" customHeight="false" outlineLevel="0" collapsed="false">
      <c r="A138" s="2" t="s">
        <v>419</v>
      </c>
      <c r="B138" s="2" t="s">
        <v>639</v>
      </c>
      <c r="C138" s="2" t="s">
        <v>31</v>
      </c>
      <c r="D138" s="2" t="s">
        <v>420</v>
      </c>
      <c r="E138" s="2" t="n">
        <v>-22.5648</v>
      </c>
      <c r="F138" s="2" t="n">
        <v>17.0931</v>
      </c>
      <c r="G138" s="2" t="n">
        <v>2024</v>
      </c>
      <c r="H138" s="2" t="n">
        <v>4.24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 t="s">
        <v>637</v>
      </c>
      <c r="T138" s="2" t="n">
        <v>56.2</v>
      </c>
      <c r="U138" s="2" t="n">
        <f aca="false">T138+(ROW()-2)*0.0000001</f>
        <v>56.2000136</v>
      </c>
    </row>
    <row r="139" customFormat="false" ht="15" hidden="false" customHeight="false" outlineLevel="0" collapsed="false">
      <c r="A139" s="2" t="s">
        <v>442</v>
      </c>
      <c r="B139" s="2" t="s">
        <v>51</v>
      </c>
      <c r="C139" s="2" t="s">
        <v>22</v>
      </c>
      <c r="D139" s="2" t="s">
        <v>443</v>
      </c>
      <c r="E139" s="2" t="n">
        <v>-0.5477</v>
      </c>
      <c r="F139" s="2" t="n">
        <v>166.920867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 t="s">
        <v>638</v>
      </c>
      <c r="T139" s="2" t="n">
        <v>54.5</v>
      </c>
      <c r="U139" s="2" t="n">
        <f aca="false">T139+(ROW()-2)*0.0000001</f>
        <v>54.5000137</v>
      </c>
    </row>
    <row r="140" customFormat="false" ht="15" hidden="false" customHeight="false" outlineLevel="0" collapsed="false">
      <c r="A140" s="2" t="s">
        <v>439</v>
      </c>
      <c r="B140" s="2" t="s">
        <v>78</v>
      </c>
      <c r="C140" s="2" t="s">
        <v>31</v>
      </c>
      <c r="D140" s="2" t="s">
        <v>440</v>
      </c>
      <c r="E140" s="2" t="n">
        <v>27.6939</v>
      </c>
      <c r="F140" s="2" t="n">
        <v>85.3157</v>
      </c>
      <c r="G140" s="2" t="n">
        <v>2024</v>
      </c>
      <c r="H140" s="2" t="n">
        <v>4.69</v>
      </c>
      <c r="I140" s="2" t="n">
        <v>51.5</v>
      </c>
      <c r="J140" s="2" t="n">
        <v>15.8</v>
      </c>
      <c r="K140" s="2" t="n">
        <v>49.2</v>
      </c>
      <c r="L140" s="2" t="n">
        <v>49.8</v>
      </c>
      <c r="M140" s="2" t="n">
        <v>67.8</v>
      </c>
      <c r="N140" s="2"/>
      <c r="O140" s="2"/>
      <c r="P140" s="2"/>
      <c r="Q140" s="2" t="n">
        <v>150</v>
      </c>
      <c r="R140" s="2"/>
      <c r="S140" s="2" t="s">
        <v>636</v>
      </c>
      <c r="T140" s="2" t="n">
        <v>66.9</v>
      </c>
      <c r="U140" s="2" t="n">
        <f aca="false">T140+(ROW()-2)*0.0000001</f>
        <v>66.9000138</v>
      </c>
    </row>
    <row r="141" customFormat="false" ht="15" hidden="false" customHeight="false" outlineLevel="0" collapsed="false">
      <c r="A141" s="2" t="s">
        <v>433</v>
      </c>
      <c r="B141" s="2" t="s">
        <v>35</v>
      </c>
      <c r="C141" s="2" t="s">
        <v>22</v>
      </c>
      <c r="D141" s="2" t="s">
        <v>434</v>
      </c>
      <c r="E141" s="2" t="n">
        <v>52.3738</v>
      </c>
      <c r="F141" s="2" t="n">
        <v>4.89095</v>
      </c>
      <c r="G141" s="2" t="n">
        <v>2024</v>
      </c>
      <c r="H141" s="2" t="n">
        <v>3.35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 t="s">
        <v>637</v>
      </c>
      <c r="T141" s="2" t="n">
        <v>56.5</v>
      </c>
      <c r="U141" s="2" t="n">
        <f aca="false">T141+(ROW()-2)*0.0000001</f>
        <v>56.5000139</v>
      </c>
    </row>
    <row r="142" customFormat="false" ht="15" hidden="false" customHeight="false" outlineLevel="0" collapsed="false">
      <c r="A142" s="2" t="s">
        <v>422</v>
      </c>
      <c r="B142" s="2" t="s">
        <v>51</v>
      </c>
      <c r="C142" s="2" t="s">
        <v>22</v>
      </c>
      <c r="D142" s="2" t="s">
        <v>423</v>
      </c>
      <c r="E142" s="2" t="n">
        <v>-22.2677</v>
      </c>
      <c r="F142" s="2" t="n">
        <v>166.464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 t="s">
        <v>638</v>
      </c>
      <c r="T142" s="2" t="n">
        <v>54.5</v>
      </c>
      <c r="U142" s="2" t="n">
        <f aca="false">T142+(ROW()-2)*0.0000001</f>
        <v>54.500014</v>
      </c>
    </row>
    <row r="143" customFormat="false" ht="15" hidden="false" customHeight="false" outlineLevel="0" collapsed="false">
      <c r="A143" s="2" t="s">
        <v>444</v>
      </c>
      <c r="B143" s="2" t="s">
        <v>51</v>
      </c>
      <c r="C143" s="2" t="s">
        <v>22</v>
      </c>
      <c r="D143" s="2" t="s">
        <v>445</v>
      </c>
      <c r="E143" s="2" t="n">
        <v>-41.2865</v>
      </c>
      <c r="F143" s="2" t="n">
        <v>174.776</v>
      </c>
      <c r="G143" s="2" t="n">
        <v>2024</v>
      </c>
      <c r="H143" s="2" t="n">
        <v>2.92</v>
      </c>
      <c r="I143" s="2" t="n">
        <v>66.2</v>
      </c>
      <c r="J143" s="2" t="n">
        <v>29.8</v>
      </c>
      <c r="K143" s="2" t="n">
        <v>62.8</v>
      </c>
      <c r="L143" s="2" t="n">
        <v>65.3</v>
      </c>
      <c r="M143" s="2" t="n">
        <v>88.5</v>
      </c>
      <c r="N143" s="2"/>
      <c r="O143" s="2"/>
      <c r="P143" s="2"/>
      <c r="Q143" s="2"/>
      <c r="R143" s="2"/>
      <c r="S143" s="2" t="s">
        <v>636</v>
      </c>
      <c r="T143" s="2" t="n">
        <v>67.5</v>
      </c>
      <c r="U143" s="2" t="n">
        <f aca="false">T143+(ROW()-2)*0.0000001</f>
        <v>67.5000141</v>
      </c>
    </row>
    <row r="144" customFormat="false" ht="15" hidden="false" customHeight="false" outlineLevel="0" collapsed="false">
      <c r="A144" s="2" t="s">
        <v>430</v>
      </c>
      <c r="B144" s="2" t="s">
        <v>640</v>
      </c>
      <c r="C144" s="2" t="s">
        <v>31</v>
      </c>
      <c r="D144" s="2" t="s">
        <v>431</v>
      </c>
      <c r="E144" s="2" t="n">
        <v>12.1475</v>
      </c>
      <c r="F144" s="2" t="n">
        <v>-86.2734</v>
      </c>
      <c r="G144" s="2" t="n">
        <v>2024</v>
      </c>
      <c r="H144" s="2" t="n">
        <v>4.62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 t="s">
        <v>637</v>
      </c>
      <c r="T144" s="2" t="n">
        <v>56.1</v>
      </c>
      <c r="U144" s="2" t="n">
        <f aca="false">T144+(ROW()-2)*0.0000001</f>
        <v>56.1000142</v>
      </c>
    </row>
    <row r="145" customFormat="false" ht="15" hidden="false" customHeight="false" outlineLevel="0" collapsed="false">
      <c r="A145" s="2" t="s">
        <v>424</v>
      </c>
      <c r="B145" s="2" t="s">
        <v>639</v>
      </c>
      <c r="C145" s="2" t="s">
        <v>26</v>
      </c>
      <c r="D145" s="2" t="s">
        <v>425</v>
      </c>
      <c r="E145" s="2" t="n">
        <v>13.514</v>
      </c>
      <c r="F145" s="2" t="n">
        <v>2.1073</v>
      </c>
      <c r="G145" s="2" t="n">
        <v>2024</v>
      </c>
      <c r="H145" s="2" t="n">
        <v>9.07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 t="s">
        <v>637</v>
      </c>
      <c r="T145" s="2" t="n">
        <v>54.8</v>
      </c>
      <c r="U145" s="2" t="n">
        <f aca="false">T145+(ROW()-2)*0.0000001</f>
        <v>54.8000143</v>
      </c>
    </row>
    <row r="146" customFormat="false" ht="15" hidden="false" customHeight="false" outlineLevel="0" collapsed="false">
      <c r="A146" s="2" t="s">
        <v>427</v>
      </c>
      <c r="B146" s="2" t="s">
        <v>639</v>
      </c>
      <c r="C146" s="2" t="s">
        <v>31</v>
      </c>
      <c r="D146" s="2" t="s">
        <v>428</v>
      </c>
      <c r="E146" s="2" t="n">
        <v>9.05804</v>
      </c>
      <c r="F146" s="2" t="n">
        <v>7.48906</v>
      </c>
      <c r="G146" s="2" t="n">
        <v>2024</v>
      </c>
      <c r="H146" s="2" t="n">
        <v>33.24</v>
      </c>
      <c r="I146" s="2" t="n">
        <v>40.8</v>
      </c>
      <c r="J146" s="2" t="n">
        <v>9.5</v>
      </c>
      <c r="K146" s="2" t="n">
        <v>39.2</v>
      </c>
      <c r="L146" s="2" t="n">
        <v>39.5</v>
      </c>
      <c r="M146" s="2" t="n">
        <v>52.5</v>
      </c>
      <c r="N146" s="2" t="n">
        <v>1.05</v>
      </c>
      <c r="O146" s="2" t="n">
        <v>1.32</v>
      </c>
      <c r="P146" s="2" t="n">
        <v>16.2</v>
      </c>
      <c r="Q146" s="2" t="n">
        <v>180</v>
      </c>
      <c r="R146" s="2" t="n">
        <v>40</v>
      </c>
      <c r="S146" s="2" t="s">
        <v>636</v>
      </c>
      <c r="T146" s="2" t="n">
        <v>57.7</v>
      </c>
      <c r="U146" s="2" t="n">
        <f aca="false">T146+(ROW()-2)*0.0000001</f>
        <v>57.7000144</v>
      </c>
    </row>
    <row r="147" customFormat="false" ht="15" hidden="false" customHeight="false" outlineLevel="0" collapsed="false">
      <c r="A147" s="2" t="s">
        <v>385</v>
      </c>
      <c r="B147" s="2" t="s">
        <v>35</v>
      </c>
      <c r="C147" s="2" t="s">
        <v>36</v>
      </c>
      <c r="D147" s="2" t="s">
        <v>386</v>
      </c>
      <c r="E147" s="2" t="n">
        <v>42.0024</v>
      </c>
      <c r="F147" s="2" t="n">
        <v>21.4361</v>
      </c>
      <c r="G147" s="2" t="n">
        <v>2024</v>
      </c>
      <c r="H147" s="2" t="n">
        <v>3.49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 t="s">
        <v>637</v>
      </c>
      <c r="T147" s="2" t="n">
        <v>56.5</v>
      </c>
      <c r="U147" s="2" t="n">
        <f aca="false">T147+(ROW()-2)*0.0000001</f>
        <v>56.5000145</v>
      </c>
    </row>
    <row r="148" customFormat="false" ht="15" hidden="false" customHeight="false" outlineLevel="0" collapsed="false">
      <c r="A148" s="2" t="s">
        <v>402</v>
      </c>
      <c r="B148" s="2" t="s">
        <v>51</v>
      </c>
      <c r="C148" s="2" t="s">
        <v>22</v>
      </c>
      <c r="D148" s="2" t="s">
        <v>403</v>
      </c>
      <c r="E148" s="2" t="n">
        <v>15.1935</v>
      </c>
      <c r="F148" s="2" t="n">
        <v>145.765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 t="s">
        <v>638</v>
      </c>
      <c r="T148" s="2" t="n">
        <v>54.5</v>
      </c>
      <c r="U148" s="2" t="n">
        <f aca="false">T148+(ROW()-2)*0.0000001</f>
        <v>54.5000146</v>
      </c>
    </row>
    <row r="149" customFormat="false" ht="15" hidden="false" customHeight="false" outlineLevel="0" collapsed="false">
      <c r="A149" s="2" t="s">
        <v>436</v>
      </c>
      <c r="B149" s="2" t="s">
        <v>35</v>
      </c>
      <c r="C149" s="2" t="s">
        <v>22</v>
      </c>
      <c r="D149" s="2" t="s">
        <v>437</v>
      </c>
      <c r="E149" s="2" t="n">
        <v>59.9138</v>
      </c>
      <c r="F149" s="2" t="n">
        <v>10.7387</v>
      </c>
      <c r="G149" s="2" t="n">
        <v>2024</v>
      </c>
      <c r="H149" s="2" t="n">
        <v>3.15</v>
      </c>
      <c r="I149" s="2" t="n">
        <v>73.8</v>
      </c>
      <c r="J149" s="2" t="n">
        <v>38.9</v>
      </c>
      <c r="K149" s="2" t="n">
        <v>69.8</v>
      </c>
      <c r="L149" s="2" t="n">
        <v>78.5</v>
      </c>
      <c r="M149" s="2" t="n">
        <v>105.3</v>
      </c>
      <c r="N149" s="2" t="n">
        <v>3.52</v>
      </c>
      <c r="O149" s="2" t="n">
        <v>6.54</v>
      </c>
      <c r="P149" s="2" t="n">
        <v>145.2</v>
      </c>
      <c r="Q149" s="2"/>
      <c r="R149" s="2"/>
      <c r="S149" s="2" t="s">
        <v>636</v>
      </c>
      <c r="T149" s="2" t="n">
        <v>69.2</v>
      </c>
      <c r="U149" s="2" t="n">
        <f aca="false">T149+(ROW()-2)*0.0000001</f>
        <v>69.2000147</v>
      </c>
    </row>
    <row r="150" customFormat="false" ht="15" hidden="false" customHeight="false" outlineLevel="0" collapsed="false">
      <c r="A150" s="2" t="s">
        <v>447</v>
      </c>
      <c r="B150" s="2" t="s">
        <v>25</v>
      </c>
      <c r="C150" s="2" t="s">
        <v>22</v>
      </c>
      <c r="D150" s="2" t="s">
        <v>448</v>
      </c>
      <c r="E150" s="2" t="n">
        <v>23.6105</v>
      </c>
      <c r="F150" s="2" t="n">
        <v>58.5874</v>
      </c>
      <c r="G150" s="2" t="n">
        <v>2024</v>
      </c>
      <c r="H150" s="2" t="n">
        <v>0.59</v>
      </c>
      <c r="I150" s="2" t="n">
        <v>64.8</v>
      </c>
      <c r="J150" s="2" t="n">
        <v>25.2</v>
      </c>
      <c r="K150" s="2" t="n">
        <v>61.2</v>
      </c>
      <c r="L150" s="2" t="n">
        <v>62.8</v>
      </c>
      <c r="M150" s="2" t="n">
        <v>85.6</v>
      </c>
      <c r="N150" s="2"/>
      <c r="O150" s="2"/>
      <c r="P150" s="2"/>
      <c r="Q150" s="2" t="n">
        <v>550</v>
      </c>
      <c r="R150" s="2"/>
      <c r="S150" s="2" t="s">
        <v>636</v>
      </c>
      <c r="T150" s="2" t="n">
        <v>68.3</v>
      </c>
      <c r="U150" s="2" t="n">
        <f aca="false">T150+(ROW()-2)*0.0000001</f>
        <v>68.3000148</v>
      </c>
    </row>
    <row r="151" customFormat="false" ht="15" hidden="false" customHeight="false" outlineLevel="0" collapsed="false">
      <c r="A151" s="2" t="s">
        <v>450</v>
      </c>
      <c r="B151" s="2" t="s">
        <v>25</v>
      </c>
      <c r="C151" s="2" t="s">
        <v>31</v>
      </c>
      <c r="D151" s="2" t="s">
        <v>451</v>
      </c>
      <c r="E151" s="2" t="n">
        <v>30.5167</v>
      </c>
      <c r="F151" s="2" t="n">
        <v>72.8</v>
      </c>
      <c r="G151" s="2" t="n">
        <v>2024</v>
      </c>
      <c r="H151" s="2" t="n">
        <v>12.63</v>
      </c>
      <c r="I151" s="2" t="n">
        <v>43.2</v>
      </c>
      <c r="J151" s="2" t="n">
        <v>10.8</v>
      </c>
      <c r="K151" s="2" t="n">
        <v>41.8</v>
      </c>
      <c r="L151" s="2" t="n">
        <v>41.9</v>
      </c>
      <c r="M151" s="2" t="n">
        <v>55.8</v>
      </c>
      <c r="N151" s="2" t="n">
        <v>1.18</v>
      </c>
      <c r="O151" s="2" t="n">
        <v>1.52</v>
      </c>
      <c r="P151" s="2" t="n">
        <v>20.8</v>
      </c>
      <c r="Q151" s="2" t="n">
        <v>120</v>
      </c>
      <c r="R151" s="2" t="n">
        <v>30</v>
      </c>
      <c r="S151" s="2" t="s">
        <v>636</v>
      </c>
      <c r="T151" s="2" t="n">
        <v>64</v>
      </c>
      <c r="U151" s="2" t="n">
        <f aca="false">T151+(ROW()-2)*0.0000001</f>
        <v>64.0000149</v>
      </c>
    </row>
    <row r="152" customFormat="false" ht="15" hidden="false" customHeight="false" outlineLevel="0" collapsed="false">
      <c r="A152" s="2" t="s">
        <v>462</v>
      </c>
      <c r="B152" s="2" t="s">
        <v>51</v>
      </c>
      <c r="C152" s="2" t="s">
        <v>22</v>
      </c>
      <c r="D152" s="2" t="s">
        <v>463</v>
      </c>
      <c r="E152" s="2" t="n">
        <v>7.34194</v>
      </c>
      <c r="F152" s="2" t="n">
        <v>134.479</v>
      </c>
      <c r="G152" s="2" t="n">
        <v>2024</v>
      </c>
      <c r="H152" s="2" t="n">
        <v>2.23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 t="s">
        <v>637</v>
      </c>
      <c r="T152" s="2" t="n">
        <v>56.8</v>
      </c>
      <c r="U152" s="2" t="n">
        <f aca="false">T152+(ROW()-2)*0.0000001</f>
        <v>56.800015</v>
      </c>
    </row>
    <row r="153" customFormat="false" ht="15" hidden="false" customHeight="false" outlineLevel="0" collapsed="false">
      <c r="A153" s="2" t="s">
        <v>453</v>
      </c>
      <c r="B153" s="2" t="s">
        <v>640</v>
      </c>
      <c r="C153" s="2" t="s">
        <v>22</v>
      </c>
      <c r="D153" s="2" t="s">
        <v>454</v>
      </c>
      <c r="E153" s="2" t="n">
        <v>8.99427</v>
      </c>
      <c r="F153" s="2" t="n">
        <v>-79.5188</v>
      </c>
      <c r="G153" s="2" t="n">
        <v>2024</v>
      </c>
      <c r="H153" s="2" t="n">
        <v>0.69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 t="s">
        <v>637</v>
      </c>
      <c r="T153" s="2" t="n">
        <v>57.3</v>
      </c>
      <c r="U153" s="2" t="n">
        <f aca="false">T153+(ROW()-2)*0.0000001</f>
        <v>57.3000151</v>
      </c>
    </row>
    <row r="154" customFormat="false" ht="15" hidden="false" customHeight="false" outlineLevel="0" collapsed="false">
      <c r="A154" s="2" t="s">
        <v>465</v>
      </c>
      <c r="B154" s="2" t="s">
        <v>51</v>
      </c>
      <c r="C154" s="2" t="s">
        <v>31</v>
      </c>
      <c r="D154" s="2" t="s">
        <v>466</v>
      </c>
      <c r="E154" s="2" t="n">
        <v>-9.47357</v>
      </c>
      <c r="F154" s="2" t="n">
        <v>147.194</v>
      </c>
      <c r="G154" s="2" t="n">
        <v>2024</v>
      </c>
      <c r="H154" s="2" t="n">
        <v>0.6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 t="s">
        <v>637</v>
      </c>
      <c r="T154" s="2" t="n">
        <v>57.3</v>
      </c>
      <c r="U154" s="2" t="n">
        <f aca="false">T154+(ROW()-2)*0.0000001</f>
        <v>57.3000152</v>
      </c>
    </row>
    <row r="155" customFormat="false" ht="15" hidden="false" customHeight="false" outlineLevel="0" collapsed="false">
      <c r="A155" s="2" t="s">
        <v>478</v>
      </c>
      <c r="B155" s="2" t="s">
        <v>640</v>
      </c>
      <c r="C155" s="2" t="s">
        <v>36</v>
      </c>
      <c r="D155" s="2" t="s">
        <v>479</v>
      </c>
      <c r="E155" s="2" t="n">
        <v>-25.3005</v>
      </c>
      <c r="F155" s="2" t="n">
        <v>-57.6362</v>
      </c>
      <c r="G155" s="2" t="n">
        <v>2024</v>
      </c>
      <c r="H155" s="2" t="n">
        <v>3.84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 t="s">
        <v>637</v>
      </c>
      <c r="T155" s="2" t="n">
        <v>56.3</v>
      </c>
      <c r="U155" s="2" t="n">
        <f aca="false">T155+(ROW()-2)*0.0000001</f>
        <v>56.3000153</v>
      </c>
    </row>
    <row r="156" customFormat="false" ht="15" hidden="false" customHeight="false" outlineLevel="0" collapsed="false">
      <c r="A156" s="2" t="s">
        <v>456</v>
      </c>
      <c r="B156" s="2" t="s">
        <v>640</v>
      </c>
      <c r="C156" s="2" t="s">
        <v>36</v>
      </c>
      <c r="D156" s="2" t="s">
        <v>457</v>
      </c>
      <c r="E156" s="2" t="n">
        <v>-12.0931</v>
      </c>
      <c r="F156" s="2" t="n">
        <v>-77.0465</v>
      </c>
      <c r="G156" s="2" t="n">
        <v>2024</v>
      </c>
      <c r="H156" s="2" t="n">
        <v>2.01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 t="s">
        <v>637</v>
      </c>
      <c r="T156" s="2" t="n">
        <v>56.9</v>
      </c>
      <c r="U156" s="2" t="n">
        <f aca="false">T156+(ROW()-2)*0.0000001</f>
        <v>56.9000154</v>
      </c>
    </row>
    <row r="157" customFormat="false" ht="15" hidden="false" customHeight="false" outlineLevel="0" collapsed="false">
      <c r="A157" s="2" t="s">
        <v>459</v>
      </c>
      <c r="B157" s="2" t="s">
        <v>51</v>
      </c>
      <c r="C157" s="2" t="s">
        <v>36</v>
      </c>
      <c r="D157" s="2" t="s">
        <v>460</v>
      </c>
      <c r="E157" s="2" t="n">
        <v>14.5515</v>
      </c>
      <c r="F157" s="2" t="n">
        <v>121.035</v>
      </c>
      <c r="G157" s="2" t="n">
        <v>2024</v>
      </c>
      <c r="H157" s="2" t="n">
        <v>3.21</v>
      </c>
      <c r="I157" s="2" t="n">
        <v>46.1</v>
      </c>
      <c r="J157" s="2" t="n">
        <v>12.2</v>
      </c>
      <c r="K157" s="2" t="n">
        <v>44.2</v>
      </c>
      <c r="L157" s="2" t="n">
        <v>44.5</v>
      </c>
      <c r="M157" s="2" t="n">
        <v>59.2</v>
      </c>
      <c r="N157" s="2" t="n">
        <v>1.38</v>
      </c>
      <c r="O157" s="2" t="n">
        <v>1.92</v>
      </c>
      <c r="P157" s="2" t="n">
        <v>28.5</v>
      </c>
      <c r="Q157" s="2" t="n">
        <v>280</v>
      </c>
      <c r="R157" s="2" t="n">
        <v>48</v>
      </c>
      <c r="S157" s="2" t="s">
        <v>636</v>
      </c>
      <c r="T157" s="2" t="n">
        <v>66.8</v>
      </c>
      <c r="U157" s="2" t="n">
        <f aca="false">T157+(ROW()-2)*0.0000001</f>
        <v>66.8000155</v>
      </c>
    </row>
    <row r="158" customFormat="false" ht="15" hidden="false" customHeight="false" outlineLevel="0" collapsed="false">
      <c r="A158" s="2" t="s">
        <v>468</v>
      </c>
      <c r="B158" s="2" t="s">
        <v>35</v>
      </c>
      <c r="C158" s="2" t="s">
        <v>22</v>
      </c>
      <c r="D158" s="2" t="s">
        <v>469</v>
      </c>
      <c r="E158" s="2" t="n">
        <v>52.26</v>
      </c>
      <c r="F158" s="2" t="n">
        <v>21.02</v>
      </c>
      <c r="G158" s="2" t="n">
        <v>2024</v>
      </c>
      <c r="H158" s="2" t="n">
        <v>3.79</v>
      </c>
      <c r="I158" s="2" t="n">
        <v>55.8</v>
      </c>
      <c r="J158" s="2" t="n">
        <v>18.6</v>
      </c>
      <c r="K158" s="2" t="n">
        <v>52.4</v>
      </c>
      <c r="L158" s="2" t="n">
        <v>53.8</v>
      </c>
      <c r="M158" s="2" t="n">
        <v>74.2</v>
      </c>
      <c r="N158" s="2" t="n">
        <v>2.25</v>
      </c>
      <c r="O158" s="2" t="n">
        <v>3.45</v>
      </c>
      <c r="P158" s="2" t="n">
        <v>72.5</v>
      </c>
      <c r="Q158" s="2" t="n">
        <v>450</v>
      </c>
      <c r="R158" s="2" t="n">
        <v>85</v>
      </c>
      <c r="S158" s="2" t="s">
        <v>636</v>
      </c>
      <c r="T158" s="2" t="n">
        <v>67.5</v>
      </c>
      <c r="U158" s="2" t="n">
        <f aca="false">T158+(ROW()-2)*0.0000001</f>
        <v>67.5000156</v>
      </c>
    </row>
    <row r="159" customFormat="false" ht="15" hidden="false" customHeight="false" outlineLevel="0" collapsed="false">
      <c r="A159" s="2" t="s">
        <v>475</v>
      </c>
      <c r="B159" s="2" t="s">
        <v>35</v>
      </c>
      <c r="C159" s="2" t="s">
        <v>22</v>
      </c>
      <c r="D159" s="2" t="s">
        <v>476</v>
      </c>
      <c r="E159" s="2" t="n">
        <v>38.7072</v>
      </c>
      <c r="F159" s="2" t="n">
        <v>-9.13552</v>
      </c>
      <c r="G159" s="2" t="n">
        <v>2024</v>
      </c>
      <c r="H159" s="2" t="n">
        <v>2.42</v>
      </c>
      <c r="I159" s="2" t="n">
        <v>58.2</v>
      </c>
      <c r="J159" s="2" t="n">
        <v>20.5</v>
      </c>
      <c r="K159" s="2" t="n">
        <v>54.7</v>
      </c>
      <c r="L159" s="2" t="n">
        <v>56.2</v>
      </c>
      <c r="M159" s="2" t="n">
        <v>78.9</v>
      </c>
      <c r="N159" s="2" t="n">
        <v>2.45</v>
      </c>
      <c r="O159" s="2" t="n">
        <v>3.85</v>
      </c>
      <c r="P159" s="2" t="n">
        <v>85.4</v>
      </c>
      <c r="Q159" s="2" t="n">
        <v>420</v>
      </c>
      <c r="R159" s="2" t="n">
        <v>80</v>
      </c>
      <c r="S159" s="2" t="s">
        <v>636</v>
      </c>
      <c r="T159" s="2" t="n">
        <v>68.4</v>
      </c>
      <c r="U159" s="2" t="n">
        <f aca="false">T159+(ROW()-2)*0.0000001</f>
        <v>68.4000157</v>
      </c>
    </row>
    <row r="160" customFormat="false" ht="15" hidden="false" customHeight="false" outlineLevel="0" collapsed="false">
      <c r="A160" s="2" t="s">
        <v>471</v>
      </c>
      <c r="B160" s="2" t="s">
        <v>640</v>
      </c>
      <c r="C160" s="2" t="s">
        <v>22</v>
      </c>
      <c r="D160" s="2" t="s">
        <v>472</v>
      </c>
      <c r="E160" s="2" t="n">
        <v>18.23</v>
      </c>
      <c r="F160" s="2" t="n">
        <v>-66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 t="s">
        <v>638</v>
      </c>
      <c r="T160" s="2" t="n">
        <v>54.5</v>
      </c>
      <c r="U160" s="2" t="n">
        <f aca="false">T160+(ROW()-2)*0.0000001</f>
        <v>54.5000158</v>
      </c>
    </row>
    <row r="161" customFormat="false" ht="15" hidden="false" customHeight="false" outlineLevel="0" collapsed="false">
      <c r="A161" s="2" t="s">
        <v>485</v>
      </c>
      <c r="B161" s="2" t="s">
        <v>25</v>
      </c>
      <c r="C161" s="2" t="s">
        <v>22</v>
      </c>
      <c r="D161" s="2" t="s">
        <v>486</v>
      </c>
      <c r="E161" s="2" t="n">
        <v>25.2948</v>
      </c>
      <c r="F161" s="2" t="n">
        <v>51.5082</v>
      </c>
      <c r="G161" s="2" t="n">
        <v>2024</v>
      </c>
      <c r="H161" s="2" t="n">
        <v>1.27</v>
      </c>
      <c r="I161" s="2" t="n">
        <v>70.8</v>
      </c>
      <c r="J161" s="2" t="n">
        <v>31.5</v>
      </c>
      <c r="K161" s="2" t="n">
        <v>66.2</v>
      </c>
      <c r="L161" s="2" t="n">
        <v>68.5</v>
      </c>
      <c r="M161" s="2" t="n">
        <v>92.8</v>
      </c>
      <c r="N161" s="2"/>
      <c r="O161" s="2"/>
      <c r="P161" s="2"/>
      <c r="Q161" s="2" t="n">
        <v>900</v>
      </c>
      <c r="R161" s="2"/>
      <c r="S161" s="2" t="s">
        <v>636</v>
      </c>
      <c r="T161" s="2" t="n">
        <v>67.6</v>
      </c>
      <c r="U161" s="2" t="n">
        <f aca="false">T161+(ROW()-2)*0.0000001</f>
        <v>67.6000159</v>
      </c>
    </row>
    <row r="162" customFormat="false" ht="15" hidden="false" customHeight="false" outlineLevel="0" collapsed="false">
      <c r="A162" s="2" t="s">
        <v>488</v>
      </c>
      <c r="B162" s="2" t="s">
        <v>35</v>
      </c>
      <c r="C162" s="2" t="s">
        <v>22</v>
      </c>
      <c r="D162" s="2" t="s">
        <v>489</v>
      </c>
      <c r="E162" s="2" t="n">
        <v>44.4479</v>
      </c>
      <c r="F162" s="2" t="n">
        <v>26.0979</v>
      </c>
      <c r="G162" s="2" t="n">
        <v>2024</v>
      </c>
      <c r="H162" s="2" t="n">
        <v>5.72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 t="s">
        <v>637</v>
      </c>
      <c r="T162" s="2" t="n">
        <v>55.8</v>
      </c>
      <c r="U162" s="2" t="n">
        <f aca="false">T162+(ROW()-2)*0.0000001</f>
        <v>55.800016</v>
      </c>
    </row>
    <row r="163" customFormat="false" ht="15" hidden="false" customHeight="false" outlineLevel="0" collapsed="false">
      <c r="A163" s="2" t="s">
        <v>491</v>
      </c>
      <c r="B163" s="2" t="s">
        <v>35</v>
      </c>
      <c r="C163" s="2" t="s">
        <v>22</v>
      </c>
      <c r="D163" s="2" t="s">
        <v>492</v>
      </c>
      <c r="E163" s="2" t="n">
        <v>55.7558</v>
      </c>
      <c r="F163" s="2" t="n">
        <v>37.6176</v>
      </c>
      <c r="G163" s="2" t="n">
        <v>2024</v>
      </c>
      <c r="H163" s="2" t="n">
        <v>8.43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 t="s">
        <v>637</v>
      </c>
      <c r="T163" s="2" t="n">
        <v>55</v>
      </c>
      <c r="U163" s="2" t="n">
        <f aca="false">T163+(ROW()-2)*0.0000001</f>
        <v>55.0000161</v>
      </c>
    </row>
    <row r="164" customFormat="false" ht="15" hidden="false" customHeight="false" outlineLevel="0" collapsed="false">
      <c r="A164" s="2" t="s">
        <v>494</v>
      </c>
      <c r="B164" s="2" t="s">
        <v>639</v>
      </c>
      <c r="C164" s="2" t="s">
        <v>26</v>
      </c>
      <c r="D164" s="2" t="s">
        <v>495</v>
      </c>
      <c r="E164" s="2" t="n">
        <v>-1.95325</v>
      </c>
      <c r="F164" s="2" t="n">
        <v>30.0587</v>
      </c>
      <c r="G164" s="2" t="n">
        <v>2024</v>
      </c>
      <c r="H164" s="2" t="n">
        <v>1.77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 t="s">
        <v>637</v>
      </c>
      <c r="T164" s="2" t="n">
        <v>57</v>
      </c>
      <c r="U164" s="2" t="n">
        <f aca="false">T164+(ROW()-2)*0.0000001</f>
        <v>57.0000162</v>
      </c>
    </row>
    <row r="165" customFormat="false" ht="15" hidden="false" customHeight="false" outlineLevel="0" collapsed="false">
      <c r="A165" s="2" t="s">
        <v>616</v>
      </c>
      <c r="B165" s="2" t="s">
        <v>51</v>
      </c>
      <c r="C165" s="2" t="s">
        <v>36</v>
      </c>
      <c r="D165" s="2" t="s">
        <v>617</v>
      </c>
      <c r="E165" s="2" t="n">
        <v>-13.8314</v>
      </c>
      <c r="F165" s="2" t="n">
        <v>-171.752</v>
      </c>
      <c r="G165" s="2" t="n">
        <v>2024</v>
      </c>
      <c r="H165" s="2" t="n">
        <v>2.17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 t="s">
        <v>637</v>
      </c>
      <c r="T165" s="2" t="n">
        <v>56.8</v>
      </c>
      <c r="U165" s="2" t="n">
        <f aca="false">T165+(ROW()-2)*0.0000001</f>
        <v>56.8000163</v>
      </c>
    </row>
    <row r="166" customFormat="false" ht="15" hidden="false" customHeight="false" outlineLevel="0" collapsed="false">
      <c r="A166" s="2" t="s">
        <v>517</v>
      </c>
      <c r="B166" s="2" t="s">
        <v>35</v>
      </c>
      <c r="C166" s="2" t="s">
        <v>22</v>
      </c>
      <c r="D166" s="2" t="s">
        <v>517</v>
      </c>
      <c r="E166" s="2" t="n">
        <v>43.9322</v>
      </c>
      <c r="F166" s="2" t="n">
        <v>12.4486</v>
      </c>
      <c r="G166" s="2" t="n">
        <v>2024</v>
      </c>
      <c r="H166" s="2" t="n">
        <v>1.24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 t="s">
        <v>637</v>
      </c>
      <c r="T166" s="2" t="n">
        <v>57.1</v>
      </c>
      <c r="U166" s="2" t="n">
        <f aca="false">T166+(ROW()-2)*0.0000001</f>
        <v>57.1000164</v>
      </c>
    </row>
    <row r="167" customFormat="false" ht="15" hidden="false" customHeight="false" outlineLevel="0" collapsed="false">
      <c r="A167" s="2" t="s">
        <v>527</v>
      </c>
      <c r="B167" s="2" t="s">
        <v>639</v>
      </c>
      <c r="C167" s="2" t="s">
        <v>31</v>
      </c>
      <c r="D167" s="2" t="s">
        <v>528</v>
      </c>
      <c r="E167" s="2" t="n">
        <v>0.20618</v>
      </c>
      <c r="F167" s="2" t="n">
        <v>6.6071</v>
      </c>
      <c r="G167" s="2" t="n">
        <v>2024</v>
      </c>
      <c r="H167" s="2" t="n">
        <v>14.35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 t="s">
        <v>637</v>
      </c>
      <c r="T167" s="2" t="n">
        <v>53.2</v>
      </c>
      <c r="U167" s="2" t="n">
        <f aca="false">T167+(ROW()-2)*0.0000001</f>
        <v>53.2000165</v>
      </c>
    </row>
    <row r="168" customFormat="false" ht="15" hidden="false" customHeight="false" outlineLevel="0" collapsed="false">
      <c r="A168" s="2" t="s">
        <v>497</v>
      </c>
      <c r="B168" s="2" t="s">
        <v>25</v>
      </c>
      <c r="C168" s="2" t="s">
        <v>22</v>
      </c>
      <c r="D168" s="2" t="s">
        <v>498</v>
      </c>
      <c r="E168" s="2" t="n">
        <v>24.6748</v>
      </c>
      <c r="F168" s="2" t="n">
        <v>46.6977</v>
      </c>
      <c r="G168" s="2" t="n">
        <v>2024</v>
      </c>
      <c r="H168" s="2" t="n">
        <v>1.69</v>
      </c>
      <c r="I168" s="2" t="n">
        <v>68.2</v>
      </c>
      <c r="J168" s="2" t="n">
        <v>28.4</v>
      </c>
      <c r="K168" s="2" t="n">
        <v>64.2</v>
      </c>
      <c r="L168" s="2" t="n">
        <v>66.1</v>
      </c>
      <c r="M168" s="2" t="n">
        <v>89.4</v>
      </c>
      <c r="N168" s="2"/>
      <c r="O168" s="2"/>
      <c r="P168" s="2"/>
      <c r="Q168" s="2" t="n">
        <v>750</v>
      </c>
      <c r="R168" s="2"/>
      <c r="S168" s="2" t="s">
        <v>636</v>
      </c>
      <c r="T168" s="2" t="n">
        <v>67.7</v>
      </c>
      <c r="U168" s="2" t="n">
        <f aca="false">T168+(ROW()-2)*0.0000001</f>
        <v>67.7000166</v>
      </c>
    </row>
    <row r="169" customFormat="false" ht="15" hidden="false" customHeight="false" outlineLevel="0" collapsed="false">
      <c r="A169" s="2" t="s">
        <v>503</v>
      </c>
      <c r="B169" s="2" t="s">
        <v>639</v>
      </c>
      <c r="C169" s="2" t="s">
        <v>31</v>
      </c>
      <c r="D169" s="2" t="s">
        <v>504</v>
      </c>
      <c r="E169" s="2" t="n">
        <v>14.7247</v>
      </c>
      <c r="F169" s="2" t="n">
        <v>-17.4734</v>
      </c>
      <c r="G169" s="2" t="n">
        <v>2024</v>
      </c>
      <c r="H169" s="2" t="n">
        <v>0.8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 t="s">
        <v>637</v>
      </c>
      <c r="T169" s="2" t="n">
        <v>57.3</v>
      </c>
      <c r="U169" s="2" t="n">
        <f aca="false">T169+(ROW()-2)*0.0000001</f>
        <v>57.3000167</v>
      </c>
    </row>
    <row r="170" customFormat="false" ht="15" hidden="false" customHeight="false" outlineLevel="0" collapsed="false">
      <c r="A170" s="2" t="s">
        <v>521</v>
      </c>
      <c r="B170" s="2" t="s">
        <v>35</v>
      </c>
      <c r="C170" s="2" t="s">
        <v>36</v>
      </c>
      <c r="D170" s="2" t="s">
        <v>522</v>
      </c>
      <c r="E170" s="2" t="n">
        <v>44.8024</v>
      </c>
      <c r="F170" s="2" t="n">
        <v>20.4656</v>
      </c>
      <c r="G170" s="2" t="n">
        <v>2024</v>
      </c>
      <c r="H170" s="2" t="n">
        <v>4.67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 t="s">
        <v>637</v>
      </c>
      <c r="T170" s="2" t="n">
        <v>56.1</v>
      </c>
      <c r="U170" s="2" t="n">
        <f aca="false">T170+(ROW()-2)*0.0000001</f>
        <v>56.1000168</v>
      </c>
    </row>
    <row r="171" customFormat="false" ht="15" hidden="false" customHeight="false" outlineLevel="0" collapsed="false">
      <c r="A171" s="2" t="s">
        <v>546</v>
      </c>
      <c r="B171" s="2" t="s">
        <v>639</v>
      </c>
      <c r="C171" s="2" t="s">
        <v>22</v>
      </c>
      <c r="D171" s="2" t="s">
        <v>547</v>
      </c>
      <c r="E171" s="2" t="n">
        <v>-4.6309</v>
      </c>
      <c r="F171" s="2" t="n">
        <v>55.4466</v>
      </c>
      <c r="G171" s="2" t="n">
        <v>2024</v>
      </c>
      <c r="H171" s="2" t="n">
        <v>0.31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 t="s">
        <v>637</v>
      </c>
      <c r="T171" s="2" t="n">
        <v>57.4</v>
      </c>
      <c r="U171" s="2" t="n">
        <f aca="false">T171+(ROW()-2)*0.0000001</f>
        <v>57.4000169</v>
      </c>
    </row>
    <row r="172" customFormat="false" ht="15" hidden="false" customHeight="false" outlineLevel="0" collapsed="false">
      <c r="A172" s="2" t="s">
        <v>511</v>
      </c>
      <c r="B172" s="2" t="s">
        <v>639</v>
      </c>
      <c r="C172" s="2" t="s">
        <v>26</v>
      </c>
      <c r="D172" s="2" t="s">
        <v>512</v>
      </c>
      <c r="E172" s="2" t="n">
        <v>8.4821</v>
      </c>
      <c r="F172" s="2" t="n">
        <v>-13.2134</v>
      </c>
      <c r="G172" s="2" t="n">
        <v>2024</v>
      </c>
      <c r="H172" s="2" t="n">
        <v>28.63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 t="s">
        <v>637</v>
      </c>
      <c r="T172" s="2" t="n">
        <v>48.9</v>
      </c>
      <c r="U172" s="2" t="n">
        <f aca="false">T172+(ROW()-2)*0.0000001</f>
        <v>48.900017</v>
      </c>
    </row>
    <row r="173" customFormat="false" ht="15" hidden="false" customHeight="false" outlineLevel="0" collapsed="false">
      <c r="A173" s="2" t="s">
        <v>506</v>
      </c>
      <c r="B173" s="2" t="s">
        <v>51</v>
      </c>
      <c r="C173" s="2" t="s">
        <v>22</v>
      </c>
      <c r="D173" s="2" t="s">
        <v>506</v>
      </c>
      <c r="E173" s="2" t="n">
        <v>1.28941</v>
      </c>
      <c r="F173" s="2" t="n">
        <v>103.85</v>
      </c>
      <c r="G173" s="2" t="n">
        <v>2024</v>
      </c>
      <c r="H173" s="2" t="n">
        <v>2.39</v>
      </c>
      <c r="I173" s="2" t="n">
        <v>80.9</v>
      </c>
      <c r="J173" s="2" t="n">
        <v>55.3</v>
      </c>
      <c r="K173" s="2" t="n">
        <v>70.1</v>
      </c>
      <c r="L173" s="2" t="n">
        <v>72.8</v>
      </c>
      <c r="M173" s="2" t="n">
        <v>95.2</v>
      </c>
      <c r="N173" s="2" t="n">
        <v>3.05</v>
      </c>
      <c r="O173" s="2"/>
      <c r="P173" s="2"/>
      <c r="Q173" s="2" t="n">
        <v>3167</v>
      </c>
      <c r="R173" s="2" t="n">
        <v>180</v>
      </c>
      <c r="S173" s="2" t="s">
        <v>636</v>
      </c>
      <c r="T173" s="2" t="n">
        <v>61</v>
      </c>
      <c r="U173" s="2" t="n">
        <f aca="false">T173+(ROW()-2)*0.0000001</f>
        <v>61.0000171</v>
      </c>
    </row>
    <row r="174" customFormat="false" ht="15" hidden="false" customHeight="false" outlineLevel="0" collapsed="false">
      <c r="A174" s="2" t="s">
        <v>544</v>
      </c>
      <c r="B174" s="2" t="s">
        <v>640</v>
      </c>
      <c r="C174" s="2" t="s">
        <v>22</v>
      </c>
      <c r="D174" s="2" t="s">
        <v>545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 t="s">
        <v>638</v>
      </c>
      <c r="T174" s="2" t="n">
        <v>54.5</v>
      </c>
      <c r="U174" s="2" t="n">
        <f aca="false">T174+(ROW()-2)*0.0000001</f>
        <v>54.5000172</v>
      </c>
    </row>
    <row r="175" customFormat="false" ht="15" hidden="false" customHeight="false" outlineLevel="0" collapsed="false">
      <c r="A175" s="2" t="s">
        <v>533</v>
      </c>
      <c r="B175" s="2" t="s">
        <v>35</v>
      </c>
      <c r="C175" s="2" t="s">
        <v>22</v>
      </c>
      <c r="D175" s="2" t="s">
        <v>534</v>
      </c>
      <c r="E175" s="2" t="n">
        <v>48.1484</v>
      </c>
      <c r="F175" s="2" t="n">
        <v>17.1073</v>
      </c>
      <c r="G175" s="2" t="n">
        <v>2024</v>
      </c>
      <c r="H175" s="2" t="n">
        <v>2.76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 t="s">
        <v>637</v>
      </c>
      <c r="T175" s="2" t="n">
        <v>56.7</v>
      </c>
      <c r="U175" s="2" t="n">
        <f aca="false">T175+(ROW()-2)*0.0000001</f>
        <v>56.7000173</v>
      </c>
    </row>
    <row r="176" customFormat="false" ht="15" hidden="false" customHeight="false" outlineLevel="0" collapsed="false">
      <c r="A176" s="2" t="s">
        <v>536</v>
      </c>
      <c r="B176" s="2" t="s">
        <v>35</v>
      </c>
      <c r="C176" s="2" t="s">
        <v>22</v>
      </c>
      <c r="D176" s="2" t="s">
        <v>537</v>
      </c>
      <c r="E176" s="2" t="n">
        <v>46.0546</v>
      </c>
      <c r="F176" s="2" t="n">
        <v>14.5044</v>
      </c>
      <c r="G176" s="2" t="n">
        <v>2024</v>
      </c>
      <c r="H176" s="2" t="n">
        <v>1.97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 t="s">
        <v>637</v>
      </c>
      <c r="T176" s="2" t="n">
        <v>56.9</v>
      </c>
      <c r="U176" s="2" t="n">
        <f aca="false">T176+(ROW()-2)*0.0000001</f>
        <v>56.9000174</v>
      </c>
    </row>
    <row r="177" customFormat="false" ht="15" hidden="false" customHeight="false" outlineLevel="0" collapsed="false">
      <c r="A177" s="2" t="s">
        <v>508</v>
      </c>
      <c r="B177" s="2" t="s">
        <v>51</v>
      </c>
      <c r="C177" s="2" t="s">
        <v>31</v>
      </c>
      <c r="D177" s="2" t="s">
        <v>509</v>
      </c>
      <c r="E177" s="2" t="n">
        <v>-9.42676</v>
      </c>
      <c r="F177" s="2" t="n">
        <v>159.949</v>
      </c>
      <c r="G177" s="2" t="n">
        <v>2024</v>
      </c>
      <c r="H177" s="2" t="n">
        <v>4.32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 t="s">
        <v>637</v>
      </c>
      <c r="T177" s="2" t="n">
        <v>56.2</v>
      </c>
      <c r="U177" s="2" t="n">
        <f aca="false">T177+(ROW()-2)*0.0000001</f>
        <v>56.2000175</v>
      </c>
    </row>
    <row r="178" customFormat="false" ht="15" hidden="false" customHeight="false" outlineLevel="0" collapsed="false">
      <c r="A178" s="2" t="s">
        <v>519</v>
      </c>
      <c r="B178" s="2" t="s">
        <v>639</v>
      </c>
      <c r="C178" s="2" t="s">
        <v>26</v>
      </c>
      <c r="D178" s="2" t="s">
        <v>520</v>
      </c>
      <c r="E178" s="2" t="n">
        <v>2.07515</v>
      </c>
      <c r="F178" s="2" t="n">
        <v>45.3254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 t="s">
        <v>638</v>
      </c>
      <c r="T178" s="2" t="n">
        <v>54.5</v>
      </c>
      <c r="U178" s="2" t="n">
        <f aca="false">T178+(ROW()-2)*0.0000001</f>
        <v>54.5000176</v>
      </c>
    </row>
    <row r="179" customFormat="false" ht="15" hidden="false" customHeight="false" outlineLevel="0" collapsed="false">
      <c r="A179" s="2" t="s">
        <v>624</v>
      </c>
      <c r="B179" s="2" t="s">
        <v>639</v>
      </c>
      <c r="C179" s="2" t="s">
        <v>36</v>
      </c>
      <c r="D179" s="2" t="s">
        <v>625</v>
      </c>
      <c r="E179" s="2" t="n">
        <v>-25.746</v>
      </c>
      <c r="F179" s="2" t="n">
        <v>28.1871</v>
      </c>
      <c r="G179" s="2" t="n">
        <v>2024</v>
      </c>
      <c r="H179" s="2" t="n">
        <v>4.36</v>
      </c>
      <c r="I179" s="2" t="n">
        <v>50.2</v>
      </c>
      <c r="J179" s="2" t="n">
        <v>15.2</v>
      </c>
      <c r="K179" s="2" t="n">
        <v>48.5</v>
      </c>
      <c r="L179" s="2" t="n">
        <v>49.3</v>
      </c>
      <c r="M179" s="2" t="n">
        <v>65.8</v>
      </c>
      <c r="N179" s="2" t="n">
        <v>1.78</v>
      </c>
      <c r="O179" s="2" t="n">
        <v>2.68</v>
      </c>
      <c r="P179" s="2" t="n">
        <v>48.5</v>
      </c>
      <c r="Q179" s="2" t="n">
        <v>320</v>
      </c>
      <c r="R179" s="2" t="n">
        <v>60</v>
      </c>
      <c r="S179" s="2" t="s">
        <v>636</v>
      </c>
      <c r="T179" s="2" t="n">
        <v>66.9</v>
      </c>
      <c r="U179" s="2" t="n">
        <f aca="false">T179+(ROW()-2)*0.0000001</f>
        <v>66.9000177</v>
      </c>
    </row>
    <row r="180" customFormat="false" ht="15" hidden="false" customHeight="false" outlineLevel="0" collapsed="false">
      <c r="A180" s="2" t="s">
        <v>524</v>
      </c>
      <c r="B180" s="2" t="s">
        <v>639</v>
      </c>
      <c r="C180" s="2" t="s">
        <v>26</v>
      </c>
      <c r="D180" s="2" t="s">
        <v>525</v>
      </c>
      <c r="E180" s="2" t="n">
        <v>4.85</v>
      </c>
      <c r="F180" s="2" t="n">
        <v>31.6</v>
      </c>
      <c r="G180" s="2" t="n">
        <v>2024</v>
      </c>
      <c r="H180" s="2" t="n">
        <v>91.44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 t="s">
        <v>637</v>
      </c>
      <c r="T180" s="2" t="n">
        <v>42.5</v>
      </c>
      <c r="U180" s="2" t="n">
        <f aca="false">T180+(ROW()-2)*0.0000001</f>
        <v>42.5000178</v>
      </c>
    </row>
    <row r="181" customFormat="false" ht="15" hidden="false" customHeight="false" outlineLevel="0" collapsed="false">
      <c r="A181" s="2" t="s">
        <v>196</v>
      </c>
      <c r="B181" s="2" t="s">
        <v>35</v>
      </c>
      <c r="C181" s="2" t="s">
        <v>22</v>
      </c>
      <c r="D181" s="2" t="s">
        <v>197</v>
      </c>
      <c r="E181" s="2" t="n">
        <v>40.4167</v>
      </c>
      <c r="F181" s="2" t="n">
        <v>-3.70327</v>
      </c>
      <c r="G181" s="2" t="n">
        <v>2024</v>
      </c>
      <c r="H181" s="2" t="n">
        <v>2.75</v>
      </c>
      <c r="I181" s="2" t="n">
        <v>60.8</v>
      </c>
      <c r="J181" s="2" t="n">
        <v>22.4</v>
      </c>
      <c r="K181" s="2" t="n">
        <v>56.8</v>
      </c>
      <c r="L181" s="2" t="n">
        <v>58.9</v>
      </c>
      <c r="M181" s="2" t="n">
        <v>82.1</v>
      </c>
      <c r="N181" s="2" t="n">
        <v>2.58</v>
      </c>
      <c r="O181" s="2" t="n">
        <v>4.08</v>
      </c>
      <c r="P181" s="2" t="n">
        <v>92.6</v>
      </c>
      <c r="Q181" s="2" t="n">
        <v>480</v>
      </c>
      <c r="R181" s="2" t="n">
        <v>95</v>
      </c>
      <c r="S181" s="2" t="s">
        <v>636</v>
      </c>
      <c r="T181" s="2" t="n">
        <v>68.3</v>
      </c>
      <c r="U181" s="2" t="n">
        <f aca="false">T181+(ROW()-2)*0.0000001</f>
        <v>68.3000179</v>
      </c>
    </row>
    <row r="182" customFormat="false" ht="15" hidden="false" customHeight="false" outlineLevel="0" collapsed="false">
      <c r="A182" s="2" t="s">
        <v>349</v>
      </c>
      <c r="B182" s="2" t="s">
        <v>78</v>
      </c>
      <c r="C182" s="2" t="s">
        <v>36</v>
      </c>
      <c r="D182" s="2" t="s">
        <v>350</v>
      </c>
      <c r="E182" s="2" t="n">
        <v>6.92148</v>
      </c>
      <c r="F182" s="2" t="n">
        <v>79.8528</v>
      </c>
      <c r="G182" s="2" t="n">
        <v>2024</v>
      </c>
      <c r="H182" s="2" t="n">
        <v>-0.43</v>
      </c>
      <c r="I182" s="2" t="n">
        <v>53.8</v>
      </c>
      <c r="J182" s="2" t="n">
        <v>17.2</v>
      </c>
      <c r="K182" s="2" t="n">
        <v>50.8</v>
      </c>
      <c r="L182" s="2" t="n">
        <v>51.5</v>
      </c>
      <c r="M182" s="2" t="n">
        <v>70.2</v>
      </c>
      <c r="N182" s="2"/>
      <c r="O182" s="2" t="n">
        <v>0.27</v>
      </c>
      <c r="P182" s="2" t="n">
        <v>9.93</v>
      </c>
      <c r="Q182" s="2" t="n">
        <v>200</v>
      </c>
      <c r="R182" s="2"/>
      <c r="S182" s="2" t="s">
        <v>636</v>
      </c>
      <c r="T182" s="2" t="n">
        <v>68.3</v>
      </c>
      <c r="U182" s="2" t="n">
        <f aca="false">T182+(ROW()-2)*0.0000001</f>
        <v>68.300018</v>
      </c>
    </row>
    <row r="183" customFormat="false" ht="15" hidden="false" customHeight="false" outlineLevel="0" collapsed="false">
      <c r="A183" s="2" t="s">
        <v>323</v>
      </c>
      <c r="B183" s="2" t="s">
        <v>640</v>
      </c>
      <c r="C183" s="2" t="s">
        <v>22</v>
      </c>
      <c r="D183" s="2" t="s">
        <v>324</v>
      </c>
      <c r="E183" s="2" t="n">
        <v>17.3</v>
      </c>
      <c r="F183" s="2" t="n">
        <v>-62.7309</v>
      </c>
      <c r="G183" s="2" t="n">
        <v>2023</v>
      </c>
      <c r="H183" s="2" t="n">
        <v>3.56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 t="s">
        <v>637</v>
      </c>
      <c r="T183" s="2" t="n">
        <v>56.4</v>
      </c>
      <c r="U183" s="2" t="n">
        <f aca="false">T183+(ROW()-2)*0.0000001</f>
        <v>56.4000181</v>
      </c>
    </row>
    <row r="184" customFormat="false" ht="15" hidden="false" customHeight="false" outlineLevel="0" collapsed="false">
      <c r="A184" s="2" t="s">
        <v>344</v>
      </c>
      <c r="B184" s="2" t="s">
        <v>640</v>
      </c>
      <c r="C184" s="2" t="s">
        <v>36</v>
      </c>
      <c r="D184" s="2" t="s">
        <v>345</v>
      </c>
      <c r="E184" s="2" t="n">
        <v>14</v>
      </c>
      <c r="F184" s="2" t="n">
        <v>-60.9832</v>
      </c>
      <c r="G184" s="2" t="n">
        <v>2024</v>
      </c>
      <c r="H184" s="2" t="n">
        <v>-0.67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 t="s">
        <v>637</v>
      </c>
      <c r="T184" s="2" t="n">
        <v>57.7</v>
      </c>
      <c r="U184" s="2" t="n">
        <f aca="false">T184+(ROW()-2)*0.0000001</f>
        <v>57.7000182</v>
      </c>
    </row>
    <row r="185" customFormat="false" ht="15" hidden="false" customHeight="false" outlineLevel="0" collapsed="false">
      <c r="A185" s="2" t="s">
        <v>365</v>
      </c>
      <c r="B185" s="2" t="s">
        <v>640</v>
      </c>
      <c r="C185" s="2" t="s">
        <v>22</v>
      </c>
      <c r="D185" s="2" t="s">
        <v>366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 t="s">
        <v>638</v>
      </c>
      <c r="T185" s="2" t="n">
        <v>54.5</v>
      </c>
      <c r="U185" s="2" t="n">
        <f aca="false">T185+(ROW()-2)*0.0000001</f>
        <v>54.5000183</v>
      </c>
    </row>
    <row r="186" customFormat="false" ht="15" hidden="false" customHeight="false" outlineLevel="0" collapsed="false">
      <c r="A186" s="2" t="s">
        <v>601</v>
      </c>
      <c r="B186" s="2" t="s">
        <v>640</v>
      </c>
      <c r="C186" s="2" t="s">
        <v>36</v>
      </c>
      <c r="D186" s="2" t="s">
        <v>602</v>
      </c>
      <c r="E186" s="2" t="n">
        <v>13.2035</v>
      </c>
      <c r="F186" s="2" t="n">
        <v>-61.2653</v>
      </c>
      <c r="G186" s="2" t="n">
        <v>2024</v>
      </c>
      <c r="H186" s="2" t="n">
        <v>3.63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 t="s">
        <v>637</v>
      </c>
      <c r="T186" s="2" t="n">
        <v>56.4</v>
      </c>
      <c r="U186" s="2" t="n">
        <f aca="false">T186+(ROW()-2)*0.0000001</f>
        <v>56.4000184</v>
      </c>
    </row>
    <row r="187" customFormat="false" ht="15" hidden="false" customHeight="false" outlineLevel="0" collapsed="false">
      <c r="A187" s="2" t="s">
        <v>500</v>
      </c>
      <c r="B187" s="2" t="s">
        <v>639</v>
      </c>
      <c r="C187" s="2" t="s">
        <v>26</v>
      </c>
      <c r="D187" s="2" t="s">
        <v>501</v>
      </c>
      <c r="E187" s="2" t="n">
        <v>15.5932</v>
      </c>
      <c r="F187" s="2" t="n">
        <v>32.5363</v>
      </c>
      <c r="G187" s="2" t="n">
        <v>2022</v>
      </c>
      <c r="H187" s="2" t="n">
        <v>138.81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 t="s">
        <v>637</v>
      </c>
      <c r="T187" s="2" t="n">
        <v>42.5</v>
      </c>
      <c r="U187" s="2" t="n">
        <f aca="false">T187+(ROW()-2)*0.0000001</f>
        <v>42.5000185</v>
      </c>
    </row>
    <row r="188" customFormat="false" ht="15" hidden="false" customHeight="false" outlineLevel="0" collapsed="false">
      <c r="A188" s="2" t="s">
        <v>530</v>
      </c>
      <c r="B188" s="2" t="s">
        <v>640</v>
      </c>
      <c r="C188" s="2" t="s">
        <v>36</v>
      </c>
      <c r="D188" s="2" t="s">
        <v>531</v>
      </c>
      <c r="E188" s="2" t="n">
        <v>5.8232</v>
      </c>
      <c r="F188" s="2" t="n">
        <v>-55.1679</v>
      </c>
      <c r="G188" s="2" t="n">
        <v>2024</v>
      </c>
      <c r="H188" s="2" t="n">
        <v>16.23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 t="s">
        <v>637</v>
      </c>
      <c r="T188" s="2" t="n">
        <v>52.6</v>
      </c>
      <c r="U188" s="2" t="n">
        <f aca="false">T188+(ROW()-2)*0.0000001</f>
        <v>52.6000186</v>
      </c>
    </row>
    <row r="189" customFormat="false" ht="15" hidden="false" customHeight="false" outlineLevel="0" collapsed="false">
      <c r="A189" s="2" t="s">
        <v>539</v>
      </c>
      <c r="B189" s="2" t="s">
        <v>35</v>
      </c>
      <c r="C189" s="2" t="s">
        <v>22</v>
      </c>
      <c r="D189" s="2" t="s">
        <v>540</v>
      </c>
      <c r="E189" s="2" t="n">
        <v>59.3327</v>
      </c>
      <c r="F189" s="2" t="n">
        <v>18.0645</v>
      </c>
      <c r="G189" s="2" t="n">
        <v>2024</v>
      </c>
      <c r="H189" s="2" t="n">
        <v>2.84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 t="s">
        <v>637</v>
      </c>
      <c r="T189" s="2" t="n">
        <v>56.6</v>
      </c>
      <c r="U189" s="2" t="n">
        <f aca="false">T189+(ROW()-2)*0.0000001</f>
        <v>56.6000187</v>
      </c>
    </row>
    <row r="190" customFormat="false" ht="15" hidden="false" customHeight="false" outlineLevel="0" collapsed="false">
      <c r="A190" s="2" t="s">
        <v>126</v>
      </c>
      <c r="B190" s="2" t="s">
        <v>35</v>
      </c>
      <c r="C190" s="2" t="s">
        <v>22</v>
      </c>
      <c r="D190" s="2" t="s">
        <v>127</v>
      </c>
      <c r="E190" s="2" t="n">
        <v>46.948</v>
      </c>
      <c r="F190" s="2" t="n">
        <v>7.44821</v>
      </c>
      <c r="G190" s="2" t="n">
        <v>2024</v>
      </c>
      <c r="H190" s="2" t="n">
        <v>1.06</v>
      </c>
      <c r="I190" s="2" t="n">
        <v>82.3</v>
      </c>
      <c r="J190" s="2" t="n">
        <v>50.1</v>
      </c>
      <c r="K190" s="2" t="n">
        <v>75.2</v>
      </c>
      <c r="L190" s="2" t="n">
        <v>88.4</v>
      </c>
      <c r="M190" s="2" t="n">
        <v>120.5</v>
      </c>
      <c r="N190" s="2" t="n">
        <v>3.81</v>
      </c>
      <c r="O190" s="2" t="n">
        <v>6.36</v>
      </c>
      <c r="P190" s="2" t="n">
        <v>149.7</v>
      </c>
      <c r="Q190" s="2" t="n">
        <v>1850</v>
      </c>
      <c r="R190" s="2" t="n">
        <v>220</v>
      </c>
      <c r="S190" s="2" t="s">
        <v>636</v>
      </c>
      <c r="T190" s="2" t="n">
        <v>70.5</v>
      </c>
      <c r="U190" s="2" t="n">
        <f aca="false">T190+(ROW()-2)*0.0000001</f>
        <v>70.5000188</v>
      </c>
    </row>
    <row r="191" customFormat="false" ht="15" hidden="false" customHeight="false" outlineLevel="0" collapsed="false">
      <c r="A191" s="2" t="s">
        <v>549</v>
      </c>
      <c r="B191" s="2" t="s">
        <v>25</v>
      </c>
      <c r="C191" s="2" t="s">
        <v>26</v>
      </c>
      <c r="D191" s="2" t="s">
        <v>550</v>
      </c>
      <c r="E191" s="2" t="n">
        <v>33.5146</v>
      </c>
      <c r="F191" s="2" t="n">
        <v>36.3119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 t="s">
        <v>638</v>
      </c>
      <c r="T191" s="2" t="n">
        <v>54.5</v>
      </c>
      <c r="U191" s="2" t="n">
        <f aca="false">T191+(ROW()-2)*0.0000001</f>
        <v>54.5000189</v>
      </c>
    </row>
    <row r="192" customFormat="false" ht="15" hidden="false" customHeight="false" outlineLevel="0" collapsed="false">
      <c r="A192" s="2" t="s">
        <v>562</v>
      </c>
      <c r="B192" s="2" t="s">
        <v>35</v>
      </c>
      <c r="C192" s="2" t="s">
        <v>31</v>
      </c>
      <c r="D192" s="2" t="s">
        <v>563</v>
      </c>
      <c r="E192" s="2" t="n">
        <v>38.5878</v>
      </c>
      <c r="F192" s="2" t="n">
        <v>68.7864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 t="s">
        <v>638</v>
      </c>
      <c r="T192" s="2" t="n">
        <v>54.5</v>
      </c>
      <c r="U192" s="2" t="n">
        <f aca="false">T192+(ROW()-2)*0.0000001</f>
        <v>54.500019</v>
      </c>
    </row>
    <row r="193" customFormat="false" ht="15" hidden="false" customHeight="false" outlineLevel="0" collapsed="false">
      <c r="A193" s="2" t="s">
        <v>583</v>
      </c>
      <c r="B193" s="2" t="s">
        <v>639</v>
      </c>
      <c r="C193" s="2" t="s">
        <v>31</v>
      </c>
      <c r="D193" s="2" t="s">
        <v>584</v>
      </c>
      <c r="E193" s="2" t="n">
        <v>-6.17486</v>
      </c>
      <c r="F193" s="2" t="n">
        <v>35.7382</v>
      </c>
      <c r="G193" s="2" t="n">
        <v>2024</v>
      </c>
      <c r="H193" s="2" t="n">
        <v>3.06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 t="s">
        <v>637</v>
      </c>
      <c r="T193" s="2" t="n">
        <v>56.6</v>
      </c>
      <c r="U193" s="2" t="n">
        <f aca="false">T193+(ROW()-2)*0.0000001</f>
        <v>56.6000191</v>
      </c>
    </row>
    <row r="194" customFormat="false" ht="15" hidden="false" customHeight="false" outlineLevel="0" collapsed="false">
      <c r="A194" s="2" t="s">
        <v>559</v>
      </c>
      <c r="B194" s="2" t="s">
        <v>51</v>
      </c>
      <c r="C194" s="2" t="s">
        <v>36</v>
      </c>
      <c r="D194" s="2" t="s">
        <v>560</v>
      </c>
      <c r="E194" s="2" t="n">
        <v>13.7308</v>
      </c>
      <c r="F194" s="2" t="n">
        <v>100.521</v>
      </c>
      <c r="G194" s="2" t="n">
        <v>2024</v>
      </c>
      <c r="H194" s="2" t="n">
        <v>0.4</v>
      </c>
      <c r="I194" s="2" t="n">
        <v>55.2</v>
      </c>
      <c r="J194" s="2" t="n">
        <v>18.2</v>
      </c>
      <c r="K194" s="2" t="n">
        <v>52.4</v>
      </c>
      <c r="L194" s="2" t="n">
        <v>53.2</v>
      </c>
      <c r="M194" s="2" t="n">
        <v>72.8</v>
      </c>
      <c r="N194" s="2"/>
      <c r="O194" s="2"/>
      <c r="P194" s="2"/>
      <c r="Q194" s="2" t="n">
        <v>350</v>
      </c>
      <c r="R194" s="2"/>
      <c r="S194" s="2" t="s">
        <v>636</v>
      </c>
      <c r="T194" s="2" t="n">
        <v>68.3</v>
      </c>
      <c r="U194" s="2" t="n">
        <f aca="false">T194+(ROW()-2)*0.0000001</f>
        <v>68.3000192</v>
      </c>
    </row>
    <row r="195" customFormat="false" ht="15" hidden="false" customHeight="false" outlineLevel="0" collapsed="false">
      <c r="A195" s="2" t="s">
        <v>566</v>
      </c>
      <c r="B195" s="2" t="s">
        <v>51</v>
      </c>
      <c r="C195" s="2" t="s">
        <v>31</v>
      </c>
      <c r="D195" s="2" t="s">
        <v>567</v>
      </c>
      <c r="E195" s="2" t="n">
        <v>-8.56667</v>
      </c>
      <c r="F195" s="2" t="n">
        <v>125.567</v>
      </c>
      <c r="G195" s="2" t="n">
        <v>2024</v>
      </c>
      <c r="H195" s="2" t="n">
        <v>2.06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 t="s">
        <v>637</v>
      </c>
      <c r="T195" s="2" t="n">
        <v>56.9</v>
      </c>
      <c r="U195" s="2" t="n">
        <f aca="false">T195+(ROW()-2)*0.0000001</f>
        <v>56.9000193</v>
      </c>
    </row>
    <row r="196" customFormat="false" ht="15" hidden="false" customHeight="false" outlineLevel="0" collapsed="false">
      <c r="A196" s="2" t="s">
        <v>556</v>
      </c>
      <c r="B196" s="2" t="s">
        <v>639</v>
      </c>
      <c r="C196" s="2" t="s">
        <v>31</v>
      </c>
      <c r="D196" s="2" t="s">
        <v>557</v>
      </c>
      <c r="E196" s="2" t="n">
        <v>6.1228</v>
      </c>
      <c r="F196" s="2" t="n">
        <v>1.2255</v>
      </c>
      <c r="G196" s="2" t="n">
        <v>2024</v>
      </c>
      <c r="H196" s="2" t="n">
        <v>2.86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 t="s">
        <v>637</v>
      </c>
      <c r="T196" s="2" t="n">
        <v>56.6</v>
      </c>
      <c r="U196" s="2" t="n">
        <f aca="false">T196+(ROW()-2)*0.0000001</f>
        <v>56.6000194</v>
      </c>
    </row>
    <row r="197" customFormat="false" ht="15" hidden="false" customHeight="false" outlineLevel="0" collapsed="false">
      <c r="A197" s="2" t="s">
        <v>569</v>
      </c>
      <c r="B197" s="2" t="s">
        <v>51</v>
      </c>
      <c r="C197" s="2" t="s">
        <v>36</v>
      </c>
      <c r="D197" s="2" t="s">
        <v>570</v>
      </c>
      <c r="E197" s="2" t="n">
        <v>-21.136</v>
      </c>
      <c r="F197" s="2" t="n">
        <v>-175.216</v>
      </c>
      <c r="G197" s="2" t="n">
        <v>2024</v>
      </c>
      <c r="H197" s="2" t="n">
        <v>3.18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 t="s">
        <v>637</v>
      </c>
      <c r="T197" s="2" t="n">
        <v>56.5</v>
      </c>
      <c r="U197" s="2" t="n">
        <f aca="false">T197+(ROW()-2)*0.0000001</f>
        <v>56.5000195</v>
      </c>
    </row>
    <row r="198" customFormat="false" ht="15" hidden="false" customHeight="false" outlineLevel="0" collapsed="false">
      <c r="A198" s="2" t="s">
        <v>572</v>
      </c>
      <c r="B198" s="2" t="s">
        <v>640</v>
      </c>
      <c r="C198" s="2" t="s">
        <v>22</v>
      </c>
      <c r="D198" s="2" t="s">
        <v>573</v>
      </c>
      <c r="E198" s="2" t="n">
        <v>10.6596</v>
      </c>
      <c r="F198" s="2" t="n">
        <v>-61.4789</v>
      </c>
      <c r="G198" s="2" t="n">
        <v>2024</v>
      </c>
      <c r="H198" s="2" t="n">
        <v>0.53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 t="s">
        <v>637</v>
      </c>
      <c r="T198" s="2" t="n">
        <v>57.3</v>
      </c>
      <c r="U198" s="2" t="n">
        <f aca="false">T198+(ROW()-2)*0.0000001</f>
        <v>57.3000196</v>
      </c>
    </row>
    <row r="199" customFormat="false" ht="15" hidden="false" customHeight="false" outlineLevel="0" collapsed="false">
      <c r="A199" s="2" t="s">
        <v>575</v>
      </c>
      <c r="B199" s="2" t="s">
        <v>25</v>
      </c>
      <c r="C199" s="2" t="s">
        <v>31</v>
      </c>
      <c r="D199" s="2" t="s">
        <v>576</v>
      </c>
      <c r="E199" s="2" t="n">
        <v>36.7899</v>
      </c>
      <c r="F199" s="2" t="n">
        <v>10.21</v>
      </c>
      <c r="G199" s="2" t="n">
        <v>2024</v>
      </c>
      <c r="H199" s="2" t="n">
        <v>7.21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 t="s">
        <v>637</v>
      </c>
      <c r="T199" s="2" t="n">
        <v>55.3</v>
      </c>
      <c r="U199" s="2" t="n">
        <f aca="false">T199+(ROW()-2)*0.0000001</f>
        <v>55.3000197</v>
      </c>
    </row>
    <row r="200" customFormat="false" ht="15" hidden="false" customHeight="false" outlineLevel="0" collapsed="false">
      <c r="A200" s="2" t="s">
        <v>578</v>
      </c>
      <c r="B200" s="2" t="s">
        <v>35</v>
      </c>
      <c r="C200" s="2" t="s">
        <v>36</v>
      </c>
      <c r="D200" s="2" t="s">
        <v>579</v>
      </c>
      <c r="E200" s="2" t="n">
        <v>39.7153</v>
      </c>
      <c r="F200" s="2" t="n">
        <v>32.3606</v>
      </c>
      <c r="G200" s="2" t="n">
        <v>2024</v>
      </c>
      <c r="H200" s="2" t="n">
        <v>58.51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 t="s">
        <v>637</v>
      </c>
      <c r="T200" s="2" t="n">
        <v>42.5</v>
      </c>
      <c r="U200" s="2" t="n">
        <f aca="false">T200+(ROW()-2)*0.0000001</f>
        <v>42.5000198</v>
      </c>
    </row>
    <row r="201" customFormat="false" ht="15" hidden="false" customHeight="false" outlineLevel="0" collapsed="false">
      <c r="A201" s="2" t="s">
        <v>564</v>
      </c>
      <c r="B201" s="2" t="s">
        <v>35</v>
      </c>
      <c r="C201" s="2" t="s">
        <v>36</v>
      </c>
      <c r="D201" s="2" t="s">
        <v>565</v>
      </c>
      <c r="E201" s="2" t="n">
        <v>37.9509</v>
      </c>
      <c r="F201" s="2" t="n">
        <v>58.3794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 t="s">
        <v>638</v>
      </c>
      <c r="T201" s="2" t="n">
        <v>54.5</v>
      </c>
      <c r="U201" s="2" t="n">
        <f aca="false">T201+(ROW()-2)*0.0000001</f>
        <v>54.5000199</v>
      </c>
    </row>
    <row r="202" customFormat="false" ht="15" hidden="false" customHeight="false" outlineLevel="0" collapsed="false">
      <c r="A202" s="2" t="s">
        <v>551</v>
      </c>
      <c r="B202" s="2" t="s">
        <v>640</v>
      </c>
      <c r="C202" s="2" t="s">
        <v>22</v>
      </c>
      <c r="D202" s="2" t="s">
        <v>552</v>
      </c>
      <c r="E202" s="2" t="n">
        <v>21.4602778</v>
      </c>
      <c r="F202" s="2" t="n">
        <v>-71.141389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 t="s">
        <v>638</v>
      </c>
      <c r="T202" s="2" t="n">
        <v>54.5</v>
      </c>
      <c r="U202" s="2" t="n">
        <f aca="false">T202+(ROW()-2)*0.0000001</f>
        <v>54.50002</v>
      </c>
    </row>
    <row r="203" customFormat="false" ht="15" hidden="false" customHeight="false" outlineLevel="0" collapsed="false">
      <c r="A203" s="2" t="s">
        <v>581</v>
      </c>
      <c r="B203" s="2" t="s">
        <v>51</v>
      </c>
      <c r="C203" s="2" t="s">
        <v>36</v>
      </c>
      <c r="D203" s="2" t="s">
        <v>582</v>
      </c>
      <c r="E203" s="2" t="n">
        <v>-8.6314877</v>
      </c>
      <c r="F203" s="2" t="n">
        <v>179.089567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 t="s">
        <v>638</v>
      </c>
      <c r="T203" s="2" t="n">
        <v>54.5</v>
      </c>
      <c r="U203" s="2" t="n">
        <f aca="false">T203+(ROW()-2)*0.0000001</f>
        <v>54.5000201</v>
      </c>
    </row>
    <row r="204" customFormat="false" ht="15" hidden="false" customHeight="false" outlineLevel="0" collapsed="false">
      <c r="A204" s="2" t="s">
        <v>586</v>
      </c>
      <c r="B204" s="2" t="s">
        <v>639</v>
      </c>
      <c r="C204" s="2" t="s">
        <v>26</v>
      </c>
      <c r="D204" s="2" t="s">
        <v>587</v>
      </c>
      <c r="E204" s="2" t="n">
        <v>0.314269</v>
      </c>
      <c r="F204" s="2" t="n">
        <v>32.5729</v>
      </c>
      <c r="G204" s="2" t="n">
        <v>2024</v>
      </c>
      <c r="H204" s="2" t="n">
        <v>3.32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 t="s">
        <v>637</v>
      </c>
      <c r="T204" s="2" t="n">
        <v>56.5</v>
      </c>
      <c r="U204" s="2" t="n">
        <f aca="false">T204+(ROW()-2)*0.0000001</f>
        <v>56.5000202</v>
      </c>
    </row>
    <row r="205" customFormat="false" ht="15" hidden="false" customHeight="false" outlineLevel="0" collapsed="false">
      <c r="A205" s="2" t="s">
        <v>589</v>
      </c>
      <c r="B205" s="2" t="s">
        <v>35</v>
      </c>
      <c r="C205" s="2" t="s">
        <v>36</v>
      </c>
      <c r="D205" s="2" t="s">
        <v>590</v>
      </c>
      <c r="E205" s="2" t="n">
        <v>50.4536</v>
      </c>
      <c r="F205" s="2" t="n">
        <v>30.5038</v>
      </c>
      <c r="G205" s="2" t="n">
        <v>2024</v>
      </c>
      <c r="H205" s="2" t="n">
        <v>6.5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 t="s">
        <v>637</v>
      </c>
      <c r="T205" s="2" t="n">
        <v>55.5</v>
      </c>
      <c r="U205" s="2" t="n">
        <f aca="false">T205+(ROW()-2)*0.0000001</f>
        <v>55.5000203</v>
      </c>
    </row>
    <row r="206" customFormat="false" ht="15" hidden="false" customHeight="false" outlineLevel="0" collapsed="false">
      <c r="A206" s="2" t="s">
        <v>41</v>
      </c>
      <c r="B206" s="2" t="s">
        <v>25</v>
      </c>
      <c r="C206" s="2" t="s">
        <v>22</v>
      </c>
      <c r="D206" s="2" t="s">
        <v>42</v>
      </c>
      <c r="E206" s="2" t="n">
        <v>24.4764</v>
      </c>
      <c r="F206" s="2" t="n">
        <v>54.3705</v>
      </c>
      <c r="G206" s="2" t="n">
        <v>2024</v>
      </c>
      <c r="H206" s="2" t="n">
        <v>1.66</v>
      </c>
      <c r="I206" s="2" t="n">
        <v>72.4</v>
      </c>
      <c r="J206" s="2" t="n">
        <v>34.2</v>
      </c>
      <c r="K206" s="2" t="n">
        <v>68.5</v>
      </c>
      <c r="L206" s="2" t="n">
        <v>70.8</v>
      </c>
      <c r="M206" s="2" t="n">
        <v>96.2</v>
      </c>
      <c r="N206" s="2"/>
      <c r="O206" s="2"/>
      <c r="P206" s="2"/>
      <c r="Q206" s="2" t="n">
        <v>1100</v>
      </c>
      <c r="R206" s="2"/>
      <c r="S206" s="2" t="s">
        <v>636</v>
      </c>
      <c r="T206" s="2" t="n">
        <v>67.7</v>
      </c>
      <c r="U206" s="2" t="n">
        <f aca="false">T206+(ROW()-2)*0.0000001</f>
        <v>67.7000204</v>
      </c>
    </row>
    <row r="207" customFormat="false" ht="15" hidden="false" customHeight="false" outlineLevel="0" collapsed="false">
      <c r="A207" s="2" t="s">
        <v>222</v>
      </c>
      <c r="B207" s="2" t="s">
        <v>35</v>
      </c>
      <c r="C207" s="2" t="s">
        <v>22</v>
      </c>
      <c r="D207" s="2" t="s">
        <v>223</v>
      </c>
      <c r="E207" s="2" t="n">
        <v>51.5002</v>
      </c>
      <c r="F207" s="2" t="n">
        <v>-0.126236</v>
      </c>
      <c r="G207" s="2" t="n">
        <v>2024</v>
      </c>
      <c r="H207" s="2" t="n">
        <v>3.27</v>
      </c>
      <c r="I207" s="2" t="n">
        <v>67.8</v>
      </c>
      <c r="J207" s="2" t="n">
        <v>30.5</v>
      </c>
      <c r="K207" s="2" t="n">
        <v>63.2</v>
      </c>
      <c r="L207" s="2" t="n">
        <v>66.7</v>
      </c>
      <c r="M207" s="2" t="n">
        <v>90.2</v>
      </c>
      <c r="N207" s="2" t="n">
        <v>3.12</v>
      </c>
      <c r="O207" s="2" t="n">
        <v>4.48</v>
      </c>
      <c r="P207" s="2" t="n">
        <v>105.2</v>
      </c>
      <c r="Q207" s="2" t="n">
        <v>1235</v>
      </c>
      <c r="R207" s="2" t="n">
        <v>160</v>
      </c>
      <c r="S207" s="2" t="s">
        <v>636</v>
      </c>
      <c r="T207" s="2" t="n">
        <v>67.3</v>
      </c>
      <c r="U207" s="2" t="n">
        <f aca="false">T207+(ROW()-2)*0.0000001</f>
        <v>67.3000205</v>
      </c>
    </row>
    <row r="208" customFormat="false" ht="15" hidden="false" customHeight="false" outlineLevel="0" collapsed="false">
      <c r="A208" s="2" t="s">
        <v>595</v>
      </c>
      <c r="B208" s="2" t="s">
        <v>100</v>
      </c>
      <c r="C208" s="2" t="s">
        <v>22</v>
      </c>
      <c r="D208" s="2" t="s">
        <v>596</v>
      </c>
      <c r="E208" s="2" t="n">
        <v>38.8895</v>
      </c>
      <c r="F208" s="2" t="n">
        <v>-77.032</v>
      </c>
      <c r="G208" s="2" t="n">
        <v>2024</v>
      </c>
      <c r="H208" s="2" t="n">
        <v>2.95</v>
      </c>
      <c r="I208" s="2" t="n">
        <v>74.3</v>
      </c>
      <c r="J208" s="2" t="n">
        <v>35.2</v>
      </c>
      <c r="K208" s="2" t="n">
        <v>68.5</v>
      </c>
      <c r="L208" s="2" t="n">
        <v>70.2</v>
      </c>
      <c r="M208" s="2" t="n">
        <v>100</v>
      </c>
      <c r="N208" s="2" t="n">
        <v>3.65</v>
      </c>
      <c r="O208" s="2"/>
      <c r="P208" s="2"/>
      <c r="Q208" s="2" t="n">
        <v>1603</v>
      </c>
      <c r="R208" s="2" t="n">
        <v>150</v>
      </c>
      <c r="S208" s="2" t="s">
        <v>636</v>
      </c>
      <c r="T208" s="2" t="n">
        <v>67.8</v>
      </c>
      <c r="U208" s="2" t="n">
        <f aca="false">T208+(ROW()-2)*0.0000001</f>
        <v>67.8000206</v>
      </c>
    </row>
    <row r="209" customFormat="false" ht="15" hidden="false" customHeight="false" outlineLevel="0" collapsed="false">
      <c r="A209" s="2" t="s">
        <v>592</v>
      </c>
      <c r="B209" s="2" t="s">
        <v>640</v>
      </c>
      <c r="C209" s="2" t="s">
        <v>22</v>
      </c>
      <c r="D209" s="2" t="s">
        <v>593</v>
      </c>
      <c r="E209" s="2" t="n">
        <v>-34.8941</v>
      </c>
      <c r="F209" s="2" t="n">
        <v>-56.0675</v>
      </c>
      <c r="G209" s="2" t="n">
        <v>2024</v>
      </c>
      <c r="H209" s="2" t="n">
        <v>4.85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 t="s">
        <v>637</v>
      </c>
      <c r="T209" s="2" t="n">
        <v>56</v>
      </c>
      <c r="U209" s="2" t="n">
        <f aca="false">T209+(ROW()-2)*0.0000001</f>
        <v>56.0000207</v>
      </c>
    </row>
    <row r="210" customFormat="false" ht="15" hidden="false" customHeight="false" outlineLevel="0" collapsed="false">
      <c r="A210" s="2" t="s">
        <v>598</v>
      </c>
      <c r="B210" s="2" t="s">
        <v>35</v>
      </c>
      <c r="C210" s="2" t="s">
        <v>31</v>
      </c>
      <c r="D210" s="2" t="s">
        <v>599</v>
      </c>
      <c r="E210" s="2" t="n">
        <v>41.3052</v>
      </c>
      <c r="F210" s="2" t="n">
        <v>69.269</v>
      </c>
      <c r="G210" s="2" t="n">
        <v>2024</v>
      </c>
      <c r="H210" s="2" t="n">
        <v>9.63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 t="s">
        <v>637</v>
      </c>
      <c r="T210" s="2" t="n">
        <v>54.6</v>
      </c>
      <c r="U210" s="2" t="n">
        <f aca="false">T210+(ROW()-2)*0.0000001</f>
        <v>54.6000208</v>
      </c>
    </row>
    <row r="211" customFormat="false" ht="15" hidden="false" customHeight="false" outlineLevel="0" collapsed="false">
      <c r="A211" s="2" t="s">
        <v>613</v>
      </c>
      <c r="B211" s="2" t="s">
        <v>51</v>
      </c>
      <c r="C211" s="2" t="s">
        <v>31</v>
      </c>
      <c r="D211" s="2" t="s">
        <v>614</v>
      </c>
      <c r="E211" s="2" t="n">
        <v>-17.7404</v>
      </c>
      <c r="F211" s="2" t="n">
        <v>168.321</v>
      </c>
      <c r="G211" s="2" t="n">
        <v>2024</v>
      </c>
      <c r="H211" s="2" t="n">
        <v>1.14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 t="s">
        <v>637</v>
      </c>
      <c r="T211" s="2" t="n">
        <v>57.2</v>
      </c>
      <c r="U211" s="2" t="n">
        <f aca="false">T211+(ROW()-2)*0.0000001</f>
        <v>57.2000209</v>
      </c>
    </row>
    <row r="212" customFormat="false" ht="15" hidden="false" customHeight="false" outlineLevel="0" collapsed="false">
      <c r="A212" s="2" t="s">
        <v>604</v>
      </c>
      <c r="B212" s="2" t="s">
        <v>640</v>
      </c>
      <c r="C212" s="2" t="s">
        <v>31</v>
      </c>
      <c r="D212" s="2" t="s">
        <v>605</v>
      </c>
      <c r="E212" s="2" t="n">
        <v>9.08165</v>
      </c>
      <c r="F212" s="2" t="n">
        <v>-69.8371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 t="s">
        <v>638</v>
      </c>
      <c r="T212" s="2" t="n">
        <v>54.5</v>
      </c>
      <c r="U212" s="2" t="n">
        <f aca="false">T212+(ROW()-2)*0.0000001</f>
        <v>54.500021</v>
      </c>
    </row>
    <row r="213" customFormat="false" ht="15" hidden="false" customHeight="false" outlineLevel="0" collapsed="false">
      <c r="A213" s="2" t="s">
        <v>610</v>
      </c>
      <c r="B213" s="2" t="s">
        <v>51</v>
      </c>
      <c r="C213" s="2" t="s">
        <v>36</v>
      </c>
      <c r="D213" s="2" t="s">
        <v>611</v>
      </c>
      <c r="E213" s="2" t="n">
        <v>21.0069</v>
      </c>
      <c r="F213" s="2" t="n">
        <v>105.825</v>
      </c>
      <c r="G213" s="2" t="n">
        <v>2024</v>
      </c>
      <c r="H213" s="2" t="n">
        <v>3.62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 t="s">
        <v>637</v>
      </c>
      <c r="T213" s="2" t="n">
        <v>56.4</v>
      </c>
      <c r="U213" s="2" t="n">
        <f aca="false">T213+(ROW()-2)*0.0000001</f>
        <v>56.4000211</v>
      </c>
    </row>
    <row r="214" customFormat="false" ht="15" hidden="false" customHeight="false" outlineLevel="0" collapsed="false">
      <c r="A214" s="2" t="s">
        <v>608</v>
      </c>
      <c r="B214" s="2" t="s">
        <v>640</v>
      </c>
      <c r="C214" s="2" t="s">
        <v>22</v>
      </c>
      <c r="D214" s="2" t="s">
        <v>609</v>
      </c>
      <c r="E214" s="2" t="n">
        <v>18.3358</v>
      </c>
      <c r="F214" s="2" t="n">
        <v>-64.8963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 t="s">
        <v>638</v>
      </c>
      <c r="T214" s="2" t="n">
        <v>54.5</v>
      </c>
      <c r="U214" s="2" t="n">
        <f aca="false">T214+(ROW()-2)*0.0000001</f>
        <v>54.5000212</v>
      </c>
    </row>
    <row r="215" customFormat="false" ht="15" hidden="false" customHeight="false" outlineLevel="0" collapsed="false">
      <c r="A215" s="2" t="s">
        <v>481</v>
      </c>
      <c r="B215" s="2" t="s">
        <v>25</v>
      </c>
      <c r="C215" s="2" t="s">
        <v>31</v>
      </c>
      <c r="D215" s="2"/>
      <c r="E215" s="2"/>
      <c r="F215" s="2"/>
      <c r="G215" s="2" t="n">
        <v>2024</v>
      </c>
      <c r="H215" s="2" t="n">
        <v>53.67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 t="s">
        <v>637</v>
      </c>
      <c r="T215" s="2" t="n">
        <v>42.5</v>
      </c>
      <c r="U215" s="2" t="n">
        <f aca="false">T215+(ROW()-2)*0.0000001</f>
        <v>42.5000213</v>
      </c>
    </row>
    <row r="216" customFormat="false" ht="15" hidden="false" customHeight="false" outlineLevel="0" collapsed="false">
      <c r="A216" s="2" t="s">
        <v>622</v>
      </c>
      <c r="B216" s="2" t="s">
        <v>25</v>
      </c>
      <c r="C216" s="2" t="s">
        <v>26</v>
      </c>
      <c r="D216" s="2" t="s">
        <v>623</v>
      </c>
      <c r="E216" s="2" t="n">
        <v>15.352</v>
      </c>
      <c r="F216" s="2" t="n">
        <v>44.2075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 t="s">
        <v>638</v>
      </c>
      <c r="T216" s="2" t="n">
        <v>54.5</v>
      </c>
      <c r="U216" s="2" t="n">
        <f aca="false">T216+(ROW()-2)*0.0000001</f>
        <v>54.5000214</v>
      </c>
    </row>
    <row r="217" customFormat="false" ht="15" hidden="false" customHeight="false" outlineLevel="0" collapsed="false">
      <c r="A217" s="2" t="s">
        <v>627</v>
      </c>
      <c r="B217" s="2" t="s">
        <v>639</v>
      </c>
      <c r="C217" s="2" t="s">
        <v>31</v>
      </c>
      <c r="D217" s="2" t="s">
        <v>628</v>
      </c>
      <c r="E217" s="2" t="n">
        <v>-15.3982</v>
      </c>
      <c r="F217" s="2" t="n">
        <v>28.2937</v>
      </c>
      <c r="G217" s="2" t="n">
        <v>2024</v>
      </c>
      <c r="H217" s="2" t="n">
        <v>14.99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 t="s">
        <v>637</v>
      </c>
      <c r="T217" s="2" t="n">
        <v>53</v>
      </c>
      <c r="U217" s="2" t="n">
        <f aca="false">T217+(ROW()-2)*0.0000001</f>
        <v>53.0000215</v>
      </c>
    </row>
    <row r="218" customFormat="false" ht="15" hidden="false" customHeight="false" outlineLevel="0" collapsed="false">
      <c r="A218" s="2" t="s">
        <v>630</v>
      </c>
      <c r="B218" s="2" t="s">
        <v>639</v>
      </c>
      <c r="C218" s="2" t="s">
        <v>31</v>
      </c>
      <c r="D218" s="2" t="s">
        <v>631</v>
      </c>
      <c r="E218" s="2" t="n">
        <v>-17.8312</v>
      </c>
      <c r="F218" s="2" t="n">
        <v>31.0672</v>
      </c>
      <c r="G218" s="2" t="n">
        <v>2022</v>
      </c>
      <c r="H218" s="2" t="n">
        <v>104.71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 t="s">
        <v>637</v>
      </c>
      <c r="T218" s="2" t="n">
        <v>42.5</v>
      </c>
      <c r="U218" s="2" t="n">
        <f aca="false">T218+(ROW()-2)*0.0000001</f>
        <v>42.5000216</v>
      </c>
    </row>
  </sheetData>
  <conditionalFormatting sqref="T2:T21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20"/>
  </cols>
  <sheetData>
    <row r="1" customFormat="false" ht="19.7" hidden="false" customHeight="false" outlineLevel="0" collapsed="false">
      <c r="A1" s="4" t="s">
        <v>642</v>
      </c>
    </row>
    <row r="2" customFormat="false" ht="15" hidden="false" customHeight="false" outlineLevel="0" collapsed="false">
      <c r="A2" s="5" t="s">
        <v>643</v>
      </c>
    </row>
    <row r="4" customFormat="false" ht="23.85" hidden="false" customHeight="false" outlineLevel="0" collapsed="false">
      <c r="A4" s="6" t="s">
        <v>644</v>
      </c>
      <c r="B4" s="6" t="s">
        <v>645</v>
      </c>
      <c r="C4" s="6" t="s">
        <v>646</v>
      </c>
      <c r="D4" s="6" t="s">
        <v>647</v>
      </c>
      <c r="E4" s="6" t="s">
        <v>648</v>
      </c>
      <c r="F4" s="6" t="s">
        <v>649</v>
      </c>
    </row>
    <row r="5" customFormat="false" ht="15" hidden="false" customHeight="false" outlineLevel="0" collapsed="false">
      <c r="A5" s="7" t="s">
        <v>51</v>
      </c>
      <c r="B5" s="7" t="n">
        <f aca="false">COUNTIFS(Clean_Data!B2:B218,A5,Clean_Data!I2:I218,"&lt;&gt;")</f>
        <v>12</v>
      </c>
      <c r="C5" s="7" t="n">
        <f aca="false">IFERROR(ROUND(AVERAGEIFS(Clean_Data!I2:I218,Clean_Data!B2:B218,A5),1),"n/a")</f>
        <v>56.8</v>
      </c>
      <c r="D5" s="7" t="n">
        <f aca="false">IFERROR(ROUND(AVERAGEIFS(Clean_Data!Q2:Q218,Clean_Data!B2:B218,A5),0),"n/a")</f>
        <v>752</v>
      </c>
      <c r="E5" s="7" t="n">
        <f aca="false">IFERROR(ROUND(AVERAGEIFS(Clean_Data!M2:M218,Clean_Data!B2:B218,A5),1),"n/a")</f>
        <v>73.8</v>
      </c>
      <c r="F5" s="7" t="n">
        <f aca="false">IFERROR(ROUND(AVERAGEIFS(Clean_Data!H2:H218,Clean_Data!B2:B218,A5),2),"n/a")</f>
        <v>3.13</v>
      </c>
    </row>
    <row r="6" customFormat="false" ht="15" hidden="false" customHeight="false" outlineLevel="0" collapsed="false">
      <c r="A6" s="7" t="s">
        <v>35</v>
      </c>
      <c r="B6" s="7" t="n">
        <f aca="false">COUNTIFS(Clean_Data!B2:B218,A6,Clean_Data!I2:I218,"&lt;&gt;")</f>
        <v>13</v>
      </c>
      <c r="C6" s="7" t="n">
        <f aca="false">IFERROR(ROUND(AVERAGEIFS(Clean_Data!I2:I218,Clean_Data!B2:B218,A6),1),"n/a")</f>
        <v>66.6</v>
      </c>
      <c r="D6" s="7" t="n">
        <f aca="false">IFERROR(ROUND(AVERAGEIFS(Clean_Data!Q2:Q218,Clean_Data!B2:B218,A6),0),"n/a")</f>
        <v>773</v>
      </c>
      <c r="E6" s="7" t="n">
        <f aca="false">IFERROR(ROUND(AVERAGEIFS(Clean_Data!M2:M218,Clean_Data!B2:B218,A6),1),"n/a")</f>
        <v>91.2</v>
      </c>
      <c r="F6" s="7" t="n">
        <f aca="false">IFERROR(ROUND(AVERAGEIFS(Clean_Data!H2:H218,Clean_Data!B2:B218,A6),2),"n/a")</f>
        <v>4.43</v>
      </c>
    </row>
    <row r="7" customFormat="false" ht="15" hidden="false" customHeight="false" outlineLevel="0" collapsed="false">
      <c r="A7" s="7" t="s">
        <v>640</v>
      </c>
      <c r="B7" s="7" t="n">
        <f aca="false">COUNTIFS(Clean_Data!B2:B218,A7,Clean_Data!I2:I218,"&lt;&gt;")</f>
        <v>4</v>
      </c>
      <c r="C7" s="7" t="n">
        <f aca="false">IFERROR(ROUND(AVERAGEIFS(Clean_Data!I2:I218,Clean_Data!B2:B218,A7),1),"n/a")</f>
        <v>68.4</v>
      </c>
      <c r="D7" s="7" t="n">
        <f aca="false">IFERROR(ROUND(AVERAGEIFS(Clean_Data!Q2:Q218,Clean_Data!B2:B218,A7),0),"n/a")</f>
        <v>1080</v>
      </c>
      <c r="E7" s="7" t="n">
        <f aca="false">IFERROR(ROUND(AVERAGEIFS(Clean_Data!M2:M218,Clean_Data!B2:B218,A7),1),"n/a")</f>
        <v>85.4</v>
      </c>
      <c r="F7" s="7" t="n">
        <f aca="false">IFERROR(ROUND(AVERAGEIFS(Clean_Data!H2:H218,Clean_Data!B2:B218,A7),2),"n/a")</f>
        <v>11.21</v>
      </c>
    </row>
    <row r="8" customFormat="false" ht="15" hidden="false" customHeight="false" outlineLevel="0" collapsed="false">
      <c r="A8" s="7" t="s">
        <v>25</v>
      </c>
      <c r="B8" s="7" t="n">
        <f aca="false">COUNTIFS(Clean_Data!B2:B218,A8,Clean_Data!I2:I218,"&lt;&gt;")</f>
        <v>8</v>
      </c>
      <c r="C8" s="7" t="n">
        <f aca="false">IFERROR(ROUND(AVERAGEIFS(Clean_Data!I2:I218,Clean_Data!B2:B218,A8),1),"n/a")</f>
        <v>61.3</v>
      </c>
      <c r="D8" s="7" t="n">
        <f aca="false">IFERROR(ROUND(AVERAGEIFS(Clean_Data!Q2:Q218,Clean_Data!B2:B218,A8),0),"n/a")</f>
        <v>598</v>
      </c>
      <c r="E8" s="7" t="n">
        <f aca="false">IFERROR(ROUND(AVERAGEIFS(Clean_Data!M2:M218,Clean_Data!B2:B218,A8),1),"n/a")</f>
        <v>80.3</v>
      </c>
      <c r="F8" s="7" t="n">
        <f aca="false">IFERROR(ROUND(AVERAGEIFS(Clean_Data!H2:H218,Clean_Data!B2:B218,A8),2),"n/a")</f>
        <v>9.53</v>
      </c>
    </row>
    <row r="9" customFormat="false" ht="15" hidden="false" customHeight="false" outlineLevel="0" collapsed="false">
      <c r="A9" s="7" t="s">
        <v>100</v>
      </c>
      <c r="B9" s="7" t="n">
        <f aca="false">COUNTIFS(Clean_Data!B2:B218,A9,Clean_Data!I2:I218,"&lt;&gt;")</f>
        <v>2</v>
      </c>
      <c r="C9" s="7" t="n">
        <f aca="false">IFERROR(ROUND(AVERAGEIFS(Clean_Data!I2:I218,Clean_Data!B2:B218,A9),1),"n/a")</f>
        <v>69.9</v>
      </c>
      <c r="D9" s="7" t="n">
        <f aca="false">IFERROR(ROUND(AVERAGEIFS(Clean_Data!Q2:Q218,Clean_Data!B2:B218,A9),0),"n/a")</f>
        <v>1402</v>
      </c>
      <c r="E9" s="7" t="n">
        <f aca="false">IFERROR(ROUND(AVERAGEIFS(Clean_Data!M2:M218,Clean_Data!B2:B218,A9),1),"n/a")</f>
        <v>96.1</v>
      </c>
      <c r="F9" s="7" t="n">
        <f aca="false">IFERROR(ROUND(AVERAGEIFS(Clean_Data!H2:H218,Clean_Data!B2:B218,A9),2),"n/a")</f>
        <v>2.67</v>
      </c>
    </row>
    <row r="10" customFormat="false" ht="15" hidden="false" customHeight="false" outlineLevel="0" collapsed="false">
      <c r="A10" s="7" t="s">
        <v>78</v>
      </c>
      <c r="B10" s="7" t="n">
        <f aca="false">COUNTIFS(Clean_Data!B2:B218,A10,Clean_Data!I2:I218,"&lt;&gt;")</f>
        <v>4</v>
      </c>
      <c r="C10" s="7" t="n">
        <f aca="false">IFERROR(ROUND(AVERAGEIFS(Clean_Data!I2:I218,Clean_Data!B2:B218,A10),1),"n/a")</f>
        <v>48.3</v>
      </c>
      <c r="D10" s="7" t="n">
        <f aca="false">IFERROR(ROUND(AVERAGEIFS(Clean_Data!Q2:Q218,Clean_Data!B2:B218,A10),0),"n/a")</f>
        <v>154</v>
      </c>
      <c r="E10" s="7" t="n">
        <f aca="false">IFERROR(ROUND(AVERAGEIFS(Clean_Data!M2:M218,Clean_Data!B2:B218,A10),1),"n/a")</f>
        <v>62.8</v>
      </c>
      <c r="F10" s="7" t="n">
        <f aca="false">IFERROR(ROUND(AVERAGEIFS(Clean_Data!H2:H218,Clean_Data!B2:B218,A10),2),"n/a")</f>
        <v>3.98</v>
      </c>
    </row>
    <row r="11" customFormat="false" ht="15" hidden="false" customHeight="false" outlineLevel="0" collapsed="false">
      <c r="A11" s="7" t="s">
        <v>639</v>
      </c>
      <c r="B11" s="7" t="n">
        <f aca="false">COUNTIFS(Clean_Data!B2:B218,A11,Clean_Data!I2:I218,"&lt;&gt;")</f>
        <v>2</v>
      </c>
      <c r="C11" s="7" t="n">
        <f aca="false">IFERROR(ROUND(AVERAGEIFS(Clean_Data!I2:I218,Clean_Data!B2:B218,A11),1),"n/a")</f>
        <v>45.5</v>
      </c>
      <c r="D11" s="7" t="n">
        <f aca="false">IFERROR(ROUND(AVERAGEIFS(Clean_Data!Q2:Q218,Clean_Data!B2:B218,A11),0),"n/a")</f>
        <v>250</v>
      </c>
      <c r="E11" s="7" t="n">
        <f aca="false">IFERROR(ROUND(AVERAGEIFS(Clean_Data!M2:M218,Clean_Data!B2:B218,A11),1),"n/a")</f>
        <v>59.2</v>
      </c>
      <c r="F11" s="7" t="n">
        <f aca="false">IFERROR(ROUND(AVERAGEIFS(Clean_Data!H2:H218,Clean_Data!B2:B218,A11),2),"n/a")</f>
        <v>15.54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2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true" outlineLevel="0" max="6" min="6" style="0" width="13"/>
  </cols>
  <sheetData>
    <row r="2" customFormat="false" ht="19.7" hidden="false" customHeight="false" outlineLevel="0" collapsed="false">
      <c r="B2" s="4" t="s">
        <v>650</v>
      </c>
    </row>
    <row r="3" customFormat="false" ht="15" hidden="false" customHeight="false" outlineLevel="0" collapsed="false">
      <c r="B3" s="5" t="s">
        <v>651</v>
      </c>
    </row>
    <row r="6" customFormat="false" ht="15" hidden="false" customHeight="false" outlineLevel="0" collapsed="false">
      <c r="B6" s="8" t="s">
        <v>652</v>
      </c>
      <c r="D6" s="9" t="n">
        <f aca="false">COUNTA(Clean_Data!A2:A218)</f>
        <v>217</v>
      </c>
    </row>
    <row r="7" customFormat="false" ht="15" hidden="false" customHeight="false" outlineLevel="0" collapsed="false">
      <c r="B7" s="8" t="s">
        <v>653</v>
      </c>
      <c r="D7" s="9" t="n">
        <f aca="false">COUNTIF(Clean_Data!S2:S218,"Full data")</f>
        <v>43</v>
      </c>
    </row>
    <row r="8" customFormat="false" ht="15" hidden="false" customHeight="false" outlineLevel="0" collapsed="false">
      <c r="B8" s="8" t="s">
        <v>654</v>
      </c>
      <c r="D8" s="9" t="n">
        <f aca="false">COUNTIF(Clean_Data!S2:S218,"Inflation only")</f>
        <v>136</v>
      </c>
    </row>
    <row r="9" customFormat="false" ht="15" hidden="false" customHeight="false" outlineLevel="0" collapsed="false">
      <c r="B9" s="8" t="s">
        <v>655</v>
      </c>
      <c r="D9" s="9" t="str">
        <f aca="false">INDEX(Clean_Data!A2:A218,MATCH(MAX(Clean_Data!H2:H218),Clean_Data!H2:H218,0))</f>
        <v>Argentina</v>
      </c>
    </row>
    <row r="10" customFormat="false" ht="15" hidden="false" customHeight="false" outlineLevel="0" collapsed="false">
      <c r="B10" s="8" t="s">
        <v>656</v>
      </c>
      <c r="D10" s="9" t="str">
        <f aca="false">INDEX(Clean_Data!A2:A218,MATCH(MAX(Clean_Data!T2:T218),Clean_Data!T2:T218,0))</f>
        <v>Switzerland</v>
      </c>
    </row>
    <row r="13" customFormat="false" ht="15" hidden="false" customHeight="false" outlineLevel="0" collapsed="false">
      <c r="B13" s="8" t="s">
        <v>657</v>
      </c>
    </row>
    <row r="14" customFormat="false" ht="15" hidden="false" customHeight="false" outlineLevel="0" collapsed="false">
      <c r="B14" s="3" t="s">
        <v>658</v>
      </c>
      <c r="C14" s="3" t="s">
        <v>659</v>
      </c>
      <c r="D14" s="3" t="s">
        <v>644</v>
      </c>
      <c r="E14" s="3" t="s">
        <v>660</v>
      </c>
    </row>
    <row r="15" customFormat="false" ht="15" hidden="false" customHeight="false" outlineLevel="0" collapsed="false">
      <c r="B15" s="2" t="n">
        <v>1</v>
      </c>
      <c r="C15" s="2" t="str">
        <f aca="false">INDEX(Clean_Data!A$2:A$218,MATCH(F15,Clean_Data!U$2:U$218,0))</f>
        <v>Switzerland</v>
      </c>
      <c r="D15" s="2" t="str">
        <f aca="false">INDEX(Clean_Data!B$2:B$218,MATCH(F15,Clean_Data!U$2:U$218,0))</f>
        <v>Europe &amp; Central Asia</v>
      </c>
      <c r="E15" s="10" t="n">
        <f aca="false">INDEX(Clean_Data!T$2:T$218,MATCH(F15,Clean_Data!U$2:U$218,0))</f>
        <v>70.5</v>
      </c>
      <c r="F15" s="2" t="n">
        <f aca="false">LARGE(Clean_Data!U$2:U$218,B15)</f>
        <v>70.5000188</v>
      </c>
    </row>
    <row r="16" customFormat="false" ht="15" hidden="false" customHeight="false" outlineLevel="0" collapsed="false">
      <c r="B16" s="2" t="n">
        <v>2</v>
      </c>
      <c r="C16" s="2" t="str">
        <f aca="false">INDEX(Clean_Data!A$2:A$218,MATCH(F16,Clean_Data!U$2:U$218,0))</f>
        <v>Germany</v>
      </c>
      <c r="D16" s="2" t="str">
        <f aca="false">INDEX(Clean_Data!B$2:B$218,MATCH(F16,Clean_Data!U$2:U$218,0))</f>
        <v>Europe &amp; Central Asia</v>
      </c>
      <c r="E16" s="10" t="n">
        <f aca="false">INDEX(Clean_Data!T$2:T$218,MATCH(F16,Clean_Data!U$2:U$218,0))</f>
        <v>69.9</v>
      </c>
      <c r="F16" s="2" t="n">
        <f aca="false">LARGE(Clean_Data!U$2:U$218,B16)</f>
        <v>69.9000073</v>
      </c>
    </row>
    <row r="17" customFormat="false" ht="15" hidden="false" customHeight="false" outlineLevel="0" collapsed="false">
      <c r="B17" s="2" t="n">
        <v>3</v>
      </c>
      <c r="C17" s="2" t="str">
        <f aca="false">INDEX(Clean_Data!A$2:A$218,MATCH(F17,Clean_Data!U$2:U$218,0))</f>
        <v>Denmark</v>
      </c>
      <c r="D17" s="2" t="str">
        <f aca="false">INDEX(Clean_Data!B$2:B$218,MATCH(F17,Clean_Data!U$2:U$218,0))</f>
        <v>Europe &amp; Central Asia</v>
      </c>
      <c r="E17" s="10" t="n">
        <f aca="false">INDEX(Clean_Data!T$2:T$218,MATCH(F17,Clean_Data!U$2:U$218,0))</f>
        <v>69.9</v>
      </c>
      <c r="F17" s="2" t="n">
        <f aca="false">LARGE(Clean_Data!U$2:U$218,B17)</f>
        <v>69.9000053</v>
      </c>
    </row>
    <row r="18" customFormat="false" ht="15" hidden="false" customHeight="false" outlineLevel="0" collapsed="false">
      <c r="B18" s="2" t="n">
        <v>4</v>
      </c>
      <c r="C18" s="2" t="str">
        <f aca="false">INDEX(Clean_Data!A$2:A$218,MATCH(F18,Clean_Data!U$2:U$218,0))</f>
        <v>Canada</v>
      </c>
      <c r="D18" s="2" t="str">
        <f aca="false">INDEX(Clean_Data!B$2:B$218,MATCH(F18,Clean_Data!U$2:U$218,0))</f>
        <v>North America</v>
      </c>
      <c r="E18" s="10" t="n">
        <f aca="false">INDEX(Clean_Data!T$2:T$218,MATCH(F18,Clean_Data!U$2:U$218,0))</f>
        <v>69.4</v>
      </c>
      <c r="F18" s="2" t="n">
        <f aca="false">LARGE(Clean_Data!U$2:U$218,B18)</f>
        <v>69.4000035</v>
      </c>
    </row>
    <row r="19" customFormat="false" ht="15" hidden="false" customHeight="false" outlineLevel="0" collapsed="false">
      <c r="B19" s="2" t="n">
        <v>5</v>
      </c>
      <c r="C19" s="2" t="str">
        <f aca="false">INDEX(Clean_Data!A$2:A$218,MATCH(F19,Clean_Data!U$2:U$218,0))</f>
        <v>Afghanistan</v>
      </c>
      <c r="D19" s="2" t="str">
        <f aca="false">INDEX(Clean_Data!B$2:B$218,MATCH(F19,Clean_Data!U$2:U$218,0))</f>
        <v>Middle East, North Africa, Afghanistan &amp; Pakistan</v>
      </c>
      <c r="E19" s="10" t="n">
        <f aca="false">INDEX(Clean_Data!T$2:T$218,MATCH(F19,Clean_Data!U$2:U$218,0))</f>
        <v>69.4</v>
      </c>
      <c r="F19" s="2" t="n">
        <f aca="false">LARGE(Clean_Data!U$2:U$218,B19)</f>
        <v>69.4</v>
      </c>
    </row>
    <row r="20" customFormat="false" ht="15" hidden="false" customHeight="false" outlineLevel="0" collapsed="false">
      <c r="B20" s="2" t="n">
        <v>6</v>
      </c>
      <c r="C20" s="2" t="str">
        <f aca="false">INDEX(Clean_Data!A$2:A$218,MATCH(F20,Clean_Data!U$2:U$218,0))</f>
        <v>Norway</v>
      </c>
      <c r="D20" s="2" t="str">
        <f aca="false">INDEX(Clean_Data!B$2:B$218,MATCH(F20,Clean_Data!U$2:U$218,0))</f>
        <v>Europe &amp; Central Asia</v>
      </c>
      <c r="E20" s="10" t="n">
        <f aca="false">INDEX(Clean_Data!T$2:T$218,MATCH(F20,Clean_Data!U$2:U$218,0))</f>
        <v>69.2</v>
      </c>
      <c r="F20" s="2" t="n">
        <f aca="false">LARGE(Clean_Data!U$2:U$218,B20)</f>
        <v>69.2000147</v>
      </c>
    </row>
    <row r="21" customFormat="false" ht="15" hidden="false" customHeight="false" outlineLevel="0" collapsed="false">
      <c r="B21" s="2" t="n">
        <v>7</v>
      </c>
      <c r="C21" s="2" t="str">
        <f aca="false">INDEX(Clean_Data!A$2:A$218,MATCH(F21,Clean_Data!U$2:U$218,0))</f>
        <v>France</v>
      </c>
      <c r="D21" s="2" t="str">
        <f aca="false">INDEX(Clean_Data!B$2:B$218,MATCH(F21,Clean_Data!U$2:U$218,0))</f>
        <v>Europe &amp; Central Asia</v>
      </c>
      <c r="E21" s="10" t="n">
        <f aca="false">INDEX(Clean_Data!T$2:T$218,MATCH(F21,Clean_Data!U$2:U$218,0))</f>
        <v>68.9</v>
      </c>
      <c r="F21" s="2" t="n">
        <f aca="false">LARGE(Clean_Data!U$2:U$218,B21)</f>
        <v>68.9000068</v>
      </c>
    </row>
    <row r="22" customFormat="false" ht="15" hidden="false" customHeight="false" outlineLevel="0" collapsed="false">
      <c r="B22" s="2" t="n">
        <v>8</v>
      </c>
      <c r="C22" s="2" t="str">
        <f aca="false">INDEX(Clean_Data!A$2:A$218,MATCH(F22,Clean_Data!U$2:U$218,0))</f>
        <v>Italy</v>
      </c>
      <c r="D22" s="2" t="str">
        <f aca="false">INDEX(Clean_Data!B$2:B$218,MATCH(F22,Clean_Data!U$2:U$218,0))</f>
        <v>Europe &amp; Central Asia</v>
      </c>
      <c r="E22" s="10" t="n">
        <f aca="false">INDEX(Clean_Data!T$2:T$218,MATCH(F22,Clean_Data!U$2:U$218,0))</f>
        <v>68.5</v>
      </c>
      <c r="F22" s="2" t="n">
        <f aca="false">LARGE(Clean_Data!U$2:U$218,B22)</f>
        <v>68.5000096</v>
      </c>
    </row>
    <row r="23" customFormat="false" ht="15" hidden="false" customHeight="false" outlineLevel="0" collapsed="false">
      <c r="B23" s="2" t="n">
        <v>9</v>
      </c>
      <c r="C23" s="2" t="str">
        <f aca="false">INDEX(Clean_Data!A$2:A$218,MATCH(F23,Clean_Data!U$2:U$218,0))</f>
        <v>Portugal</v>
      </c>
      <c r="D23" s="2" t="str">
        <f aca="false">INDEX(Clean_Data!B$2:B$218,MATCH(F23,Clean_Data!U$2:U$218,0))</f>
        <v>Europe &amp; Central Asia</v>
      </c>
      <c r="E23" s="10" t="n">
        <f aca="false">INDEX(Clean_Data!T$2:T$218,MATCH(F23,Clean_Data!U$2:U$218,0))</f>
        <v>68.4</v>
      </c>
      <c r="F23" s="2" t="n">
        <f aca="false">LARGE(Clean_Data!U$2:U$218,B23)</f>
        <v>68.4000157</v>
      </c>
    </row>
    <row r="24" customFormat="false" ht="15" hidden="false" customHeight="false" outlineLevel="0" collapsed="false">
      <c r="B24" s="2" t="n">
        <v>10</v>
      </c>
      <c r="C24" s="2" t="str">
        <f aca="false">INDEX(Clean_Data!A$2:A$218,MATCH(F24,Clean_Data!U$2:U$218,0))</f>
        <v>Thailand</v>
      </c>
      <c r="D24" s="2" t="str">
        <f aca="false">INDEX(Clean_Data!B$2:B$218,MATCH(F24,Clean_Data!U$2:U$218,0))</f>
        <v>East Asia &amp; Pacific</v>
      </c>
      <c r="E24" s="10" t="n">
        <f aca="false">INDEX(Clean_Data!T$2:T$218,MATCH(F24,Clean_Data!U$2:U$218,0))</f>
        <v>68.3</v>
      </c>
      <c r="F24" s="2" t="n">
        <f aca="false">LARGE(Clean_Data!U$2:U$218,B24)</f>
        <v>68.3000192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2026-08-17T18:19:11Z</dcterms:created>
  <dc:creator>openpyxl</dc:creator>
  <dc:description/>
  <dc:language>en-US</dc:language>
  <cp:lastModifiedBy/>
  <dcterms:modified xsi:type="dcterms:W3CDTF">2026-08-17T18:19:13Z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